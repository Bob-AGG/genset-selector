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INGOL  WORK\DG价格、选型、安装图\"/>
    </mc:Choice>
  </mc:AlternateContent>
  <bookViews>
    <workbookView xWindow="0" yWindow="0" windowWidth="15480" windowHeight="11640"/>
  </bookViews>
  <sheets>
    <sheet name="4P 3PH rating " sheetId="4" r:id="rId1"/>
    <sheet name="4P 1PH rating" sheetId="5" r:id="rId2"/>
    <sheet name="2P 3PH rating" sheetId="6" r:id="rId3"/>
    <sheet name="2P 1PH rating" sheetId="7" r:id="rId4"/>
    <sheet name="4P 3PH 40SB" sheetId="8" state="hidden" r:id="rId5"/>
    <sheet name="4P 3PH 27SB" sheetId="9" state="hidden" r:id="rId6"/>
    <sheet name="4P 3PH 150K" sheetId="17" r:id="rId7"/>
    <sheet name="4P 3PH 163K" sheetId="16" r:id="rId8"/>
    <sheet name="4P 3PH 1 Hour" sheetId="15" r:id="rId9"/>
    <sheet name="Marine 70K" sheetId="11" r:id="rId10"/>
    <sheet name="Marine - 90K" sheetId="10" r:id="rId11"/>
    <sheet name="Marine 110K" sheetId="12" r:id="rId12"/>
  </sheets>
  <calcPr calcId="162913"/>
</workbook>
</file>

<file path=xl/calcChain.xml><?xml version="1.0" encoding="utf-8"?>
<calcChain xmlns="http://schemas.openxmlformats.org/spreadsheetml/2006/main">
  <c r="U25" i="17" l="1"/>
  <c r="S25" i="17"/>
  <c r="Q25" i="17"/>
  <c r="U29" i="17"/>
  <c r="U28" i="17"/>
  <c r="U27" i="17"/>
  <c r="U26" i="17"/>
  <c r="S29" i="17"/>
  <c r="S28" i="17"/>
  <c r="S27" i="17"/>
  <c r="S26" i="17"/>
  <c r="Q27" i="17"/>
  <c r="Q28" i="17"/>
  <c r="Q29" i="17"/>
  <c r="Q26" i="17"/>
  <c r="F32" i="16"/>
  <c r="D32" i="16"/>
  <c r="B32" i="16"/>
  <c r="Q32" i="17"/>
  <c r="F32" i="17"/>
  <c r="D32" i="17"/>
  <c r="B32" i="17"/>
  <c r="F34" i="16"/>
  <c r="D34" i="16"/>
  <c r="B34" i="16"/>
  <c r="B74" i="15"/>
  <c r="D74" i="15"/>
  <c r="F74" i="15"/>
  <c r="H74" i="15"/>
  <c r="J74" i="15"/>
  <c r="N74" i="15"/>
  <c r="P74" i="15"/>
  <c r="R74" i="15"/>
  <c r="T74" i="15"/>
  <c r="B75" i="15"/>
  <c r="D75" i="15"/>
  <c r="F75" i="15"/>
  <c r="H75" i="15"/>
  <c r="J75" i="15"/>
  <c r="N75" i="15"/>
  <c r="P75" i="15"/>
  <c r="R75" i="15"/>
  <c r="T75" i="15"/>
  <c r="B76" i="15"/>
  <c r="D76" i="15"/>
  <c r="F76" i="15"/>
  <c r="H76" i="15"/>
  <c r="N76" i="15"/>
  <c r="P76" i="15"/>
  <c r="R76" i="15"/>
  <c r="T76" i="15"/>
  <c r="B77" i="15"/>
  <c r="D77" i="15"/>
  <c r="F77" i="15"/>
  <c r="H77" i="15"/>
  <c r="J77" i="15"/>
  <c r="N77" i="15"/>
  <c r="P77" i="15"/>
  <c r="R77" i="15"/>
  <c r="T77" i="15"/>
  <c r="B78" i="15"/>
  <c r="D78" i="15"/>
  <c r="F78" i="15"/>
  <c r="H78" i="15"/>
  <c r="N78" i="15"/>
  <c r="P78" i="15"/>
  <c r="R78" i="15"/>
  <c r="T78" i="15"/>
  <c r="B79" i="15"/>
  <c r="D79" i="15"/>
  <c r="F79" i="15"/>
  <c r="H79" i="15"/>
  <c r="N79" i="15"/>
  <c r="P79" i="15"/>
  <c r="R79" i="15"/>
  <c r="T79" i="15"/>
  <c r="T73" i="15"/>
  <c r="R73" i="15"/>
  <c r="P73" i="15"/>
  <c r="N73" i="15"/>
  <c r="J73" i="15"/>
  <c r="H73" i="15"/>
  <c r="F73" i="15"/>
  <c r="D73" i="15"/>
  <c r="B73" i="15"/>
  <c r="J71" i="15"/>
  <c r="B67" i="15"/>
  <c r="D67" i="15"/>
  <c r="F67" i="15"/>
  <c r="H67" i="15"/>
  <c r="N67" i="15"/>
  <c r="P67" i="15"/>
  <c r="R67" i="15"/>
  <c r="T67" i="15"/>
  <c r="B68" i="15"/>
  <c r="D68" i="15"/>
  <c r="F68" i="15"/>
  <c r="H68" i="15"/>
  <c r="L68" i="15"/>
  <c r="M68" i="15"/>
  <c r="N68" i="15"/>
  <c r="P68" i="15"/>
  <c r="R68" i="15"/>
  <c r="T68" i="15"/>
  <c r="B69" i="15"/>
  <c r="D69" i="15"/>
  <c r="F69" i="15"/>
  <c r="H69" i="15"/>
  <c r="L69" i="15"/>
  <c r="M69" i="15"/>
  <c r="N69" i="15"/>
  <c r="P69" i="15"/>
  <c r="R69" i="15"/>
  <c r="T69" i="15"/>
  <c r="B70" i="15"/>
  <c r="D70" i="15"/>
  <c r="F70" i="15"/>
  <c r="H70" i="15"/>
  <c r="L70" i="15"/>
  <c r="N70" i="15"/>
  <c r="P70" i="15"/>
  <c r="R70" i="15"/>
  <c r="T70" i="15"/>
  <c r="B71" i="15"/>
  <c r="D71" i="15"/>
  <c r="F71" i="15"/>
  <c r="H71" i="15"/>
  <c r="N71" i="15"/>
  <c r="P71" i="15"/>
  <c r="R71" i="15"/>
  <c r="T71" i="15"/>
  <c r="T66" i="15"/>
  <c r="R66" i="15"/>
  <c r="P66" i="15"/>
  <c r="N66" i="15"/>
  <c r="M66" i="15"/>
  <c r="L66" i="15"/>
  <c r="H66" i="15"/>
  <c r="F66" i="15"/>
  <c r="D66" i="15"/>
  <c r="B66" i="15"/>
  <c r="N14" i="15"/>
  <c r="O14" i="15"/>
  <c r="P14" i="15"/>
  <c r="Q14" i="15"/>
  <c r="R14" i="15"/>
  <c r="S14" i="15"/>
  <c r="T14" i="15"/>
  <c r="U14" i="15"/>
  <c r="N15" i="15"/>
  <c r="O15" i="15"/>
  <c r="P15" i="15"/>
  <c r="Q15" i="15"/>
  <c r="R15" i="15"/>
  <c r="S15" i="15"/>
  <c r="T15" i="15"/>
  <c r="U15" i="15"/>
  <c r="N16" i="15"/>
  <c r="O16" i="15"/>
  <c r="P16" i="15"/>
  <c r="Q16" i="15"/>
  <c r="R16" i="15"/>
  <c r="S16" i="15"/>
  <c r="T16" i="15"/>
  <c r="U16" i="15"/>
  <c r="N18" i="15"/>
  <c r="P18" i="15"/>
  <c r="R18" i="15"/>
  <c r="T18" i="15"/>
  <c r="N19" i="15"/>
  <c r="O19" i="15"/>
  <c r="P19" i="15"/>
  <c r="Q19" i="15"/>
  <c r="R19" i="15"/>
  <c r="S19" i="15"/>
  <c r="T19" i="15"/>
  <c r="U19" i="15"/>
  <c r="N20" i="15"/>
  <c r="O20" i="15"/>
  <c r="P20" i="15"/>
  <c r="Q20" i="15"/>
  <c r="R20" i="15"/>
  <c r="S20" i="15"/>
  <c r="T20" i="15"/>
  <c r="U20" i="15"/>
  <c r="N21" i="15"/>
  <c r="P21" i="15"/>
  <c r="R21" i="15"/>
  <c r="T21" i="15"/>
  <c r="N22" i="15"/>
  <c r="O22" i="15"/>
  <c r="P22" i="15"/>
  <c r="Q22" i="15"/>
  <c r="R22" i="15"/>
  <c r="S22" i="15"/>
  <c r="T22" i="15"/>
  <c r="U22" i="15"/>
  <c r="N23" i="15"/>
  <c r="P23" i="15"/>
  <c r="R23" i="15"/>
  <c r="T23" i="15"/>
  <c r="N25" i="15"/>
  <c r="P25" i="15"/>
  <c r="R25" i="15"/>
  <c r="T25" i="15"/>
  <c r="N26" i="15"/>
  <c r="P26" i="15"/>
  <c r="R26" i="15"/>
  <c r="T26" i="15"/>
  <c r="N27" i="15"/>
  <c r="P27" i="15"/>
  <c r="R27" i="15"/>
  <c r="T27" i="15"/>
  <c r="N28" i="15"/>
  <c r="O28" i="15"/>
  <c r="P28" i="15"/>
  <c r="R28" i="15"/>
  <c r="T28" i="15"/>
  <c r="N29" i="15"/>
  <c r="O29" i="15"/>
  <c r="P29" i="15"/>
  <c r="R29" i="15"/>
  <c r="T29" i="15"/>
  <c r="N31" i="15"/>
  <c r="P31" i="15"/>
  <c r="R31" i="15"/>
  <c r="T31" i="15"/>
  <c r="N32" i="15"/>
  <c r="P32" i="15"/>
  <c r="R32" i="15"/>
  <c r="T32" i="15"/>
  <c r="N33" i="15"/>
  <c r="P33" i="15"/>
  <c r="Q33" i="15"/>
  <c r="R33" i="15"/>
  <c r="S33" i="15"/>
  <c r="T33" i="15"/>
  <c r="N34" i="15"/>
  <c r="P34" i="15"/>
  <c r="Q34" i="15"/>
  <c r="R34" i="15"/>
  <c r="S34" i="15"/>
  <c r="T34" i="15"/>
  <c r="N35" i="15"/>
  <c r="P35" i="15"/>
  <c r="R35" i="15"/>
  <c r="T35" i="15"/>
  <c r="N36" i="15"/>
  <c r="P36" i="15"/>
  <c r="R36" i="15"/>
  <c r="T36" i="15"/>
  <c r="N37" i="15"/>
  <c r="P37" i="15"/>
  <c r="R37" i="15"/>
  <c r="T37" i="15"/>
  <c r="N38" i="15"/>
  <c r="P38" i="15"/>
  <c r="Q38" i="15"/>
  <c r="R38" i="15"/>
  <c r="T38" i="15"/>
  <c r="N39" i="15"/>
  <c r="P39" i="15"/>
  <c r="Q39" i="15"/>
  <c r="R39" i="15"/>
  <c r="S39" i="15"/>
  <c r="T39" i="15"/>
  <c r="N41" i="15"/>
  <c r="P41" i="15"/>
  <c r="Q41" i="15"/>
  <c r="R41" i="15"/>
  <c r="S41" i="15"/>
  <c r="T41" i="15"/>
  <c r="N42" i="15"/>
  <c r="P42" i="15"/>
  <c r="R42" i="15"/>
  <c r="T42" i="15"/>
  <c r="N43" i="15"/>
  <c r="P43" i="15"/>
  <c r="R43" i="15"/>
  <c r="T43" i="15"/>
  <c r="N44" i="15"/>
  <c r="P44" i="15"/>
  <c r="Q44" i="15"/>
  <c r="R44" i="15"/>
  <c r="S44" i="15"/>
  <c r="T44" i="15"/>
  <c r="N45" i="15"/>
  <c r="P45" i="15"/>
  <c r="R45" i="15"/>
  <c r="T45" i="15"/>
  <c r="N46" i="15"/>
  <c r="P46" i="15"/>
  <c r="R46" i="15"/>
  <c r="T46" i="15"/>
  <c r="N47" i="15"/>
  <c r="P47" i="15"/>
  <c r="R47" i="15"/>
  <c r="T47" i="15"/>
  <c r="N49" i="15"/>
  <c r="P49" i="15"/>
  <c r="R49" i="15"/>
  <c r="T49" i="15"/>
  <c r="N50" i="15"/>
  <c r="P50" i="15"/>
  <c r="R50" i="15"/>
  <c r="T50" i="15"/>
  <c r="N51" i="15"/>
  <c r="P51" i="15"/>
  <c r="R51" i="15"/>
  <c r="T51" i="15"/>
  <c r="N52" i="15"/>
  <c r="P52" i="15"/>
  <c r="R52" i="15"/>
  <c r="T52" i="15"/>
  <c r="N53" i="15"/>
  <c r="P53" i="15"/>
  <c r="R53" i="15"/>
  <c r="T53" i="15"/>
  <c r="N54" i="15"/>
  <c r="P54" i="15"/>
  <c r="R54" i="15"/>
  <c r="T54" i="15"/>
  <c r="O13" i="15"/>
  <c r="P13" i="15"/>
  <c r="Q13" i="15"/>
  <c r="R13" i="15"/>
  <c r="S13" i="15"/>
  <c r="T13" i="15"/>
  <c r="U13" i="15"/>
  <c r="N13" i="15"/>
  <c r="J41" i="15"/>
  <c r="K41" i="15"/>
  <c r="J42" i="15"/>
  <c r="K42" i="15"/>
  <c r="J43" i="15"/>
  <c r="J46" i="15"/>
  <c r="K46" i="15"/>
  <c r="J47" i="15"/>
  <c r="K47" i="15"/>
  <c r="J49" i="15"/>
  <c r="K49" i="15"/>
  <c r="J50" i="15"/>
  <c r="K50" i="15"/>
  <c r="J51" i="15"/>
  <c r="K52" i="15"/>
  <c r="J53" i="15"/>
  <c r="J54" i="15"/>
  <c r="K54" i="15"/>
  <c r="L14" i="15"/>
  <c r="M14" i="15"/>
  <c r="L15" i="15"/>
  <c r="M15" i="15"/>
  <c r="L16" i="15"/>
  <c r="M16" i="15"/>
  <c r="L18" i="15"/>
  <c r="M18" i="15"/>
  <c r="L19" i="15"/>
  <c r="M19" i="15"/>
  <c r="L20" i="15"/>
  <c r="M20" i="15"/>
  <c r="L21" i="15"/>
  <c r="M21" i="15"/>
  <c r="L22" i="15"/>
  <c r="M22" i="15"/>
  <c r="L23" i="15"/>
  <c r="M23" i="15"/>
  <c r="L25" i="15"/>
  <c r="M25" i="15"/>
  <c r="L26" i="15"/>
  <c r="M26" i="15"/>
  <c r="L27" i="15"/>
  <c r="M27" i="15"/>
  <c r="L28" i="15"/>
  <c r="M28" i="15"/>
  <c r="L29" i="15"/>
  <c r="M29" i="15"/>
  <c r="L31" i="15"/>
  <c r="M31" i="15"/>
  <c r="L32" i="15"/>
  <c r="L33" i="15"/>
  <c r="M33" i="15"/>
  <c r="L34" i="15"/>
  <c r="L35" i="15"/>
  <c r="M35" i="15"/>
  <c r="L36" i="15"/>
  <c r="M36" i="15"/>
  <c r="L37" i="15"/>
  <c r="M37" i="15"/>
  <c r="L38" i="15"/>
  <c r="M38" i="15"/>
  <c r="L39" i="15"/>
  <c r="M39" i="15"/>
  <c r="L41" i="15"/>
  <c r="M41" i="15"/>
  <c r="L42" i="15"/>
  <c r="M42" i="15"/>
  <c r="L43" i="15"/>
  <c r="L49" i="15"/>
  <c r="M49" i="15"/>
  <c r="L50" i="15"/>
  <c r="M50" i="15"/>
  <c r="L51" i="15"/>
  <c r="L52" i="15"/>
  <c r="L53" i="15"/>
  <c r="L54" i="15"/>
  <c r="M54" i="15"/>
  <c r="M13" i="15"/>
  <c r="L13" i="15"/>
  <c r="B14" i="15"/>
  <c r="D14" i="15"/>
  <c r="F14" i="15"/>
  <c r="H14" i="15"/>
  <c r="B15" i="15"/>
  <c r="D15" i="15"/>
  <c r="F15" i="15"/>
  <c r="H15" i="15"/>
  <c r="B16" i="15"/>
  <c r="D16" i="15"/>
  <c r="F16" i="15"/>
  <c r="H16" i="15"/>
  <c r="B18" i="15"/>
  <c r="D18" i="15"/>
  <c r="F18" i="15"/>
  <c r="H18" i="15"/>
  <c r="B19" i="15"/>
  <c r="D19" i="15"/>
  <c r="F19" i="15"/>
  <c r="H19" i="15"/>
  <c r="B20" i="15"/>
  <c r="D20" i="15"/>
  <c r="F20" i="15"/>
  <c r="H20" i="15"/>
  <c r="B21" i="15"/>
  <c r="C21" i="15"/>
  <c r="D21" i="15"/>
  <c r="E21" i="15"/>
  <c r="F21" i="15"/>
  <c r="G21" i="15"/>
  <c r="H21" i="15"/>
  <c r="B22" i="15"/>
  <c r="D22" i="15"/>
  <c r="F22" i="15"/>
  <c r="H22" i="15"/>
  <c r="B23" i="15"/>
  <c r="D23" i="15"/>
  <c r="F23" i="15"/>
  <c r="H23" i="15"/>
  <c r="B25" i="15"/>
  <c r="D25" i="15"/>
  <c r="F25" i="15"/>
  <c r="H25" i="15"/>
  <c r="B26" i="15"/>
  <c r="D26" i="15"/>
  <c r="F26" i="15"/>
  <c r="H26" i="15"/>
  <c r="B27" i="15"/>
  <c r="D27" i="15"/>
  <c r="F27" i="15"/>
  <c r="H27" i="15"/>
  <c r="B28" i="15"/>
  <c r="D28" i="15"/>
  <c r="F28" i="15"/>
  <c r="H28" i="15"/>
  <c r="B29" i="15"/>
  <c r="D29" i="15"/>
  <c r="F29" i="15"/>
  <c r="H29" i="15"/>
  <c r="B31" i="15"/>
  <c r="D31" i="15"/>
  <c r="F31" i="15"/>
  <c r="B32" i="15"/>
  <c r="D32" i="15"/>
  <c r="F32" i="15"/>
  <c r="B33" i="15"/>
  <c r="D33" i="15"/>
  <c r="F33" i="15"/>
  <c r="B34" i="15"/>
  <c r="D34" i="15"/>
  <c r="F34" i="15"/>
  <c r="B35" i="15"/>
  <c r="D35" i="15"/>
  <c r="F35" i="15"/>
  <c r="B36" i="15"/>
  <c r="D36" i="15"/>
  <c r="F36" i="15"/>
  <c r="B37" i="15"/>
  <c r="D37" i="15"/>
  <c r="F37" i="15"/>
  <c r="B38" i="15"/>
  <c r="D38" i="15"/>
  <c r="F38" i="15"/>
  <c r="B39" i="15"/>
  <c r="D39" i="15"/>
  <c r="F39" i="15"/>
  <c r="B41" i="15"/>
  <c r="D41" i="15"/>
  <c r="F41" i="15"/>
  <c r="H41" i="15"/>
  <c r="B42" i="15"/>
  <c r="D42" i="15"/>
  <c r="F42" i="15"/>
  <c r="H42" i="15"/>
  <c r="B43" i="15"/>
  <c r="C43" i="15"/>
  <c r="D43" i="15"/>
  <c r="E43" i="15"/>
  <c r="F43" i="15"/>
  <c r="G43" i="15"/>
  <c r="H43" i="15"/>
  <c r="B44" i="15"/>
  <c r="D44" i="15"/>
  <c r="F44" i="15"/>
  <c r="H44" i="15"/>
  <c r="B45" i="15"/>
  <c r="D45" i="15"/>
  <c r="F45" i="15"/>
  <c r="H45" i="15"/>
  <c r="B46" i="15"/>
  <c r="D46" i="15"/>
  <c r="F46" i="15"/>
  <c r="H46" i="15"/>
  <c r="B47" i="15"/>
  <c r="D47" i="15"/>
  <c r="F47" i="15"/>
  <c r="H47" i="15"/>
  <c r="B49" i="15"/>
  <c r="D49" i="15"/>
  <c r="F49" i="15"/>
  <c r="H49" i="15"/>
  <c r="B50" i="15"/>
  <c r="D50" i="15"/>
  <c r="F50" i="15"/>
  <c r="H50" i="15"/>
  <c r="B51" i="15"/>
  <c r="D51" i="15"/>
  <c r="E51" i="15"/>
  <c r="F51" i="15"/>
  <c r="G51" i="15"/>
  <c r="H51" i="15"/>
  <c r="B52" i="15"/>
  <c r="D52" i="15"/>
  <c r="F52" i="15"/>
  <c r="H52" i="15"/>
  <c r="B53" i="15"/>
  <c r="D53" i="15"/>
  <c r="F53" i="15"/>
  <c r="H53" i="15"/>
  <c r="B54" i="15"/>
  <c r="D54" i="15"/>
  <c r="F54" i="15"/>
  <c r="H54" i="15"/>
  <c r="C13" i="15"/>
  <c r="D13" i="15"/>
  <c r="E13" i="15"/>
  <c r="F13" i="15"/>
  <c r="G13" i="15"/>
  <c r="H13" i="15"/>
  <c r="B13" i="15"/>
  <c r="J74" i="16"/>
  <c r="N74" i="16"/>
  <c r="P74" i="16"/>
  <c r="R74" i="16"/>
  <c r="T74" i="16"/>
  <c r="J75" i="16"/>
  <c r="N75" i="16"/>
  <c r="P75" i="16"/>
  <c r="R75" i="16"/>
  <c r="T75" i="16"/>
  <c r="N76" i="16"/>
  <c r="P76" i="16"/>
  <c r="R76" i="16"/>
  <c r="T76" i="16"/>
  <c r="J77" i="16"/>
  <c r="N77" i="16"/>
  <c r="P77" i="16"/>
  <c r="R77" i="16"/>
  <c r="T77" i="16"/>
  <c r="N78" i="16"/>
  <c r="P78" i="16"/>
  <c r="R78" i="16"/>
  <c r="T78" i="16"/>
  <c r="N79" i="16"/>
  <c r="P79" i="16"/>
  <c r="R79" i="16"/>
  <c r="T79" i="16"/>
  <c r="T73" i="16"/>
  <c r="R73" i="16"/>
  <c r="P73" i="16"/>
  <c r="N73" i="16"/>
  <c r="J73" i="16"/>
  <c r="J68" i="16"/>
  <c r="K68" i="16"/>
  <c r="J69" i="16"/>
  <c r="J70" i="16"/>
  <c r="J71" i="16"/>
  <c r="J66" i="16"/>
  <c r="K66" i="16"/>
  <c r="N67" i="16"/>
  <c r="P67" i="16"/>
  <c r="R67" i="16"/>
  <c r="T67" i="16"/>
  <c r="L68" i="16"/>
  <c r="M68" i="16"/>
  <c r="N68" i="16"/>
  <c r="P68" i="16"/>
  <c r="R68" i="16"/>
  <c r="T68" i="16"/>
  <c r="L69" i="16"/>
  <c r="M69" i="16"/>
  <c r="N69" i="16"/>
  <c r="P69" i="16"/>
  <c r="R69" i="16"/>
  <c r="T69" i="16"/>
  <c r="L70" i="16"/>
  <c r="N70" i="16"/>
  <c r="P70" i="16"/>
  <c r="R70" i="16"/>
  <c r="T70" i="16"/>
  <c r="N71" i="16"/>
  <c r="P71" i="16"/>
  <c r="R71" i="16"/>
  <c r="T71" i="16"/>
  <c r="T66" i="16"/>
  <c r="R66" i="16"/>
  <c r="P66" i="16"/>
  <c r="N66" i="16"/>
  <c r="M66" i="16"/>
  <c r="L66" i="16"/>
  <c r="B79" i="16"/>
  <c r="D79" i="16"/>
  <c r="F79" i="16"/>
  <c r="H79" i="16"/>
  <c r="H78" i="16"/>
  <c r="F78" i="16"/>
  <c r="D78" i="16"/>
  <c r="B78" i="16"/>
  <c r="H77" i="16"/>
  <c r="F77" i="16"/>
  <c r="D77" i="16"/>
  <c r="B77" i="16"/>
  <c r="H76" i="16"/>
  <c r="F76" i="16"/>
  <c r="D76" i="16"/>
  <c r="B76" i="16"/>
  <c r="H75" i="16"/>
  <c r="F75" i="16"/>
  <c r="D75" i="16"/>
  <c r="B75" i="16"/>
  <c r="H74" i="16"/>
  <c r="F74" i="16"/>
  <c r="D74" i="16"/>
  <c r="B74" i="16"/>
  <c r="H73" i="16"/>
  <c r="F73" i="16"/>
  <c r="D73" i="16"/>
  <c r="B73" i="16"/>
  <c r="B67" i="16"/>
  <c r="D67" i="16"/>
  <c r="F67" i="16"/>
  <c r="H67" i="16"/>
  <c r="B68" i="16"/>
  <c r="D68" i="16"/>
  <c r="F68" i="16"/>
  <c r="H68" i="16"/>
  <c r="B69" i="16"/>
  <c r="D69" i="16"/>
  <c r="F69" i="16"/>
  <c r="H69" i="16"/>
  <c r="B70" i="16"/>
  <c r="D70" i="16"/>
  <c r="F70" i="16"/>
  <c r="H70" i="16"/>
  <c r="B71" i="16"/>
  <c r="D71" i="16"/>
  <c r="F71" i="16"/>
  <c r="H71" i="16"/>
  <c r="H66" i="16"/>
  <c r="F66" i="16"/>
  <c r="D66" i="16"/>
  <c r="B66" i="16"/>
  <c r="K54" i="16"/>
  <c r="K53" i="16"/>
  <c r="K52" i="16"/>
  <c r="K51" i="16"/>
  <c r="K50" i="16"/>
  <c r="K49" i="16"/>
  <c r="D53" i="17"/>
  <c r="E53" i="17"/>
  <c r="E53" i="16"/>
  <c r="C51" i="16"/>
  <c r="I51" i="16"/>
  <c r="G51" i="16"/>
  <c r="E51" i="16"/>
  <c r="U51" i="16"/>
  <c r="S51" i="16"/>
  <c r="Q51" i="16"/>
  <c r="O51" i="16"/>
  <c r="U53" i="16"/>
  <c r="S53" i="16"/>
  <c r="Q53" i="16"/>
  <c r="O53" i="16"/>
  <c r="M51" i="16"/>
  <c r="M53" i="16"/>
  <c r="G53" i="16"/>
  <c r="I53" i="16"/>
  <c r="C53" i="16"/>
  <c r="K41" i="16"/>
  <c r="K42" i="16"/>
  <c r="K43" i="16"/>
  <c r="M39" i="16"/>
  <c r="L22" i="16"/>
  <c r="M22" i="16"/>
  <c r="L23" i="16"/>
  <c r="M23" i="16"/>
  <c r="M21" i="16"/>
  <c r="L21" i="16"/>
  <c r="M20" i="16"/>
  <c r="L20" i="16"/>
  <c r="M43" i="4"/>
  <c r="M43" i="15" s="1"/>
  <c r="K43" i="4"/>
  <c r="K43" i="15" s="1"/>
  <c r="K75" i="17"/>
  <c r="K75" i="4"/>
  <c r="K75" i="15" s="1"/>
  <c r="K74" i="4"/>
  <c r="K77" i="4"/>
  <c r="K77" i="15" s="1"/>
  <c r="K77" i="17"/>
  <c r="K74" i="17"/>
  <c r="K73" i="17"/>
  <c r="K71" i="17"/>
  <c r="J71" i="17"/>
  <c r="L70" i="17"/>
  <c r="M70" i="17" s="1"/>
  <c r="K70" i="17"/>
  <c r="J70" i="17"/>
  <c r="L69" i="17"/>
  <c r="M69" i="17" s="1"/>
  <c r="J69" i="17"/>
  <c r="K69" i="17" s="1"/>
  <c r="L68" i="17"/>
  <c r="M68" i="17" s="1"/>
  <c r="J68" i="17"/>
  <c r="K68" i="17" s="1"/>
  <c r="L66" i="17"/>
  <c r="M66" i="17" s="1"/>
  <c r="J66" i="17"/>
  <c r="K66" i="17" s="1"/>
  <c r="N79" i="17"/>
  <c r="O79" i="17"/>
  <c r="P79" i="17"/>
  <c r="Q79" i="17"/>
  <c r="R79" i="17"/>
  <c r="S79" i="17"/>
  <c r="T79" i="17"/>
  <c r="U79" i="17"/>
  <c r="T78" i="17"/>
  <c r="U78" i="17"/>
  <c r="R78" i="17"/>
  <c r="S78" i="17" s="1"/>
  <c r="P78" i="17"/>
  <c r="Q78" i="17"/>
  <c r="N78" i="17"/>
  <c r="O78" i="17" s="1"/>
  <c r="T77" i="17"/>
  <c r="U77" i="17"/>
  <c r="R77" i="17"/>
  <c r="S77" i="17" s="1"/>
  <c r="P77" i="17"/>
  <c r="Q77" i="17"/>
  <c r="N77" i="17"/>
  <c r="O77" i="17" s="1"/>
  <c r="T76" i="17"/>
  <c r="U76" i="17"/>
  <c r="R76" i="17"/>
  <c r="S76" i="17" s="1"/>
  <c r="P76" i="17"/>
  <c r="Q76" i="17"/>
  <c r="N76" i="17"/>
  <c r="O76" i="17" s="1"/>
  <c r="T75" i="17"/>
  <c r="U75" i="17"/>
  <c r="R75" i="17"/>
  <c r="S75" i="17" s="1"/>
  <c r="P75" i="17"/>
  <c r="Q75" i="17"/>
  <c r="N75" i="17"/>
  <c r="O75" i="17" s="1"/>
  <c r="T74" i="17"/>
  <c r="U74" i="17"/>
  <c r="R74" i="17"/>
  <c r="S74" i="17" s="1"/>
  <c r="P74" i="17"/>
  <c r="Q74" i="17"/>
  <c r="N74" i="17"/>
  <c r="O74" i="17" s="1"/>
  <c r="T73" i="17"/>
  <c r="U73" i="17"/>
  <c r="R73" i="17"/>
  <c r="S73" i="17" s="1"/>
  <c r="P73" i="17"/>
  <c r="Q73" i="17"/>
  <c r="N73" i="17"/>
  <c r="O73" i="17" s="1"/>
  <c r="T71" i="17"/>
  <c r="U71" i="17"/>
  <c r="R71" i="17"/>
  <c r="S71" i="17"/>
  <c r="P71" i="17"/>
  <c r="Q71" i="17"/>
  <c r="N71" i="17"/>
  <c r="O71" i="17"/>
  <c r="T70" i="17"/>
  <c r="U70" i="17"/>
  <c r="R70" i="17"/>
  <c r="S70" i="17"/>
  <c r="P70" i="17"/>
  <c r="Q70" i="17"/>
  <c r="N70" i="17"/>
  <c r="O70" i="17"/>
  <c r="T69" i="17"/>
  <c r="U69" i="17"/>
  <c r="R69" i="17"/>
  <c r="S69" i="17"/>
  <c r="P69" i="17"/>
  <c r="Q69" i="17"/>
  <c r="N69" i="17"/>
  <c r="O69" i="17"/>
  <c r="T68" i="17"/>
  <c r="U68" i="17"/>
  <c r="R68" i="17"/>
  <c r="S68" i="17"/>
  <c r="P68" i="17"/>
  <c r="Q68" i="17"/>
  <c r="N68" i="17"/>
  <c r="O68" i="17"/>
  <c r="T67" i="17"/>
  <c r="U67" i="17"/>
  <c r="R67" i="17"/>
  <c r="S67" i="17"/>
  <c r="P67" i="17"/>
  <c r="Q67" i="17"/>
  <c r="N67" i="17"/>
  <c r="O67" i="17"/>
  <c r="T66" i="17"/>
  <c r="U66" i="17"/>
  <c r="R66" i="17"/>
  <c r="S66" i="17"/>
  <c r="P66" i="17"/>
  <c r="Q66" i="17"/>
  <c r="N66" i="17"/>
  <c r="O66" i="17" s="1"/>
  <c r="H79" i="17"/>
  <c r="I79" i="17"/>
  <c r="F79" i="17"/>
  <c r="G79" i="17" s="1"/>
  <c r="D79" i="17"/>
  <c r="E79" i="17"/>
  <c r="B79" i="17"/>
  <c r="C79" i="17" s="1"/>
  <c r="H78" i="17"/>
  <c r="I78" i="17"/>
  <c r="F78" i="17"/>
  <c r="G78" i="17" s="1"/>
  <c r="D78" i="17"/>
  <c r="E78" i="17"/>
  <c r="B78" i="17"/>
  <c r="C78" i="17" s="1"/>
  <c r="H77" i="17"/>
  <c r="I77" i="17"/>
  <c r="F77" i="17"/>
  <c r="G77" i="17" s="1"/>
  <c r="D77" i="17"/>
  <c r="E77" i="17"/>
  <c r="B77" i="17"/>
  <c r="C77" i="17" s="1"/>
  <c r="H76" i="17"/>
  <c r="I76" i="17"/>
  <c r="F76" i="17"/>
  <c r="G76" i="17" s="1"/>
  <c r="D76" i="17"/>
  <c r="E76" i="17"/>
  <c r="B76" i="17"/>
  <c r="C76" i="17" s="1"/>
  <c r="H75" i="17"/>
  <c r="I75" i="17"/>
  <c r="F75" i="17"/>
  <c r="G75" i="17" s="1"/>
  <c r="D75" i="17"/>
  <c r="E75" i="17"/>
  <c r="B75" i="17"/>
  <c r="C75" i="17" s="1"/>
  <c r="H74" i="17"/>
  <c r="I74" i="17"/>
  <c r="F74" i="17"/>
  <c r="G74" i="17" s="1"/>
  <c r="D74" i="17"/>
  <c r="E74" i="17"/>
  <c r="B74" i="17"/>
  <c r="C74" i="17" s="1"/>
  <c r="H73" i="17"/>
  <c r="I73" i="17"/>
  <c r="F73" i="17"/>
  <c r="G73" i="17" s="1"/>
  <c r="D73" i="17"/>
  <c r="E73" i="17"/>
  <c r="B73" i="17"/>
  <c r="C73" i="17" s="1"/>
  <c r="D66" i="17"/>
  <c r="E66" i="17"/>
  <c r="F66" i="17"/>
  <c r="G66" i="17"/>
  <c r="H66" i="17"/>
  <c r="I66" i="17"/>
  <c r="D67" i="17"/>
  <c r="E67" i="17"/>
  <c r="F67" i="17"/>
  <c r="G67" i="17"/>
  <c r="H67" i="17"/>
  <c r="I67" i="17"/>
  <c r="D68" i="17"/>
  <c r="E68" i="17"/>
  <c r="F68" i="17"/>
  <c r="G68" i="17"/>
  <c r="H68" i="17"/>
  <c r="I68" i="17"/>
  <c r="D69" i="17"/>
  <c r="E69" i="17"/>
  <c r="F69" i="17"/>
  <c r="G69" i="17"/>
  <c r="H69" i="17"/>
  <c r="I69" i="17"/>
  <c r="D70" i="17"/>
  <c r="E70" i="17"/>
  <c r="F70" i="17"/>
  <c r="G70" i="17"/>
  <c r="H70" i="17"/>
  <c r="I70" i="17"/>
  <c r="D71" i="17"/>
  <c r="E71" i="17"/>
  <c r="F71" i="17"/>
  <c r="G71" i="17"/>
  <c r="H71" i="17"/>
  <c r="I71" i="17"/>
  <c r="B67" i="17"/>
  <c r="C67" i="17"/>
  <c r="B68" i="17"/>
  <c r="C68" i="17"/>
  <c r="B69" i="17"/>
  <c r="C69" i="17" s="1"/>
  <c r="B70" i="17"/>
  <c r="C70" i="17" s="1"/>
  <c r="B71" i="17"/>
  <c r="C71" i="17"/>
  <c r="B66" i="17"/>
  <c r="C66" i="17"/>
  <c r="J53" i="17"/>
  <c r="K53" i="17"/>
  <c r="J51" i="17"/>
  <c r="K51" i="17"/>
  <c r="L53" i="17"/>
  <c r="M53" i="17"/>
  <c r="L51" i="17"/>
  <c r="M51" i="17" s="1"/>
  <c r="K53" i="4"/>
  <c r="K53" i="15" s="1"/>
  <c r="M52" i="4"/>
  <c r="M52" i="15" s="1"/>
  <c r="M53" i="4"/>
  <c r="M53" i="15" s="1"/>
  <c r="K51" i="4"/>
  <c r="K51" i="15" s="1"/>
  <c r="M51" i="4"/>
  <c r="M51" i="15" s="1"/>
  <c r="F53" i="17"/>
  <c r="G53" i="17" s="1"/>
  <c r="H53" i="17"/>
  <c r="I53" i="17" s="1"/>
  <c r="B53" i="17"/>
  <c r="C53" i="17" s="1"/>
  <c r="N53" i="17"/>
  <c r="O53" i="17" s="1"/>
  <c r="Q53" i="17"/>
  <c r="S53" i="17"/>
  <c r="U53" i="17"/>
  <c r="U51" i="17"/>
  <c r="S51" i="17"/>
  <c r="P51" i="17"/>
  <c r="Q51" i="17"/>
  <c r="N51" i="17"/>
  <c r="O51" i="17"/>
  <c r="H51" i="17"/>
  <c r="I51" i="17"/>
  <c r="F51" i="17"/>
  <c r="G51" i="17"/>
  <c r="D51" i="17"/>
  <c r="E51" i="17" s="1"/>
  <c r="B51" i="17"/>
  <c r="C51" i="17"/>
  <c r="K54" i="17"/>
  <c r="K52" i="17"/>
  <c r="K50" i="17"/>
  <c r="K49" i="17"/>
  <c r="K47" i="17"/>
  <c r="K46" i="17"/>
  <c r="K41" i="17"/>
  <c r="K42" i="17"/>
  <c r="K43" i="17"/>
  <c r="M38" i="17"/>
  <c r="M34" i="4"/>
  <c r="M34" i="15" s="1"/>
  <c r="F34" i="17"/>
  <c r="G34" i="17" s="1"/>
  <c r="D34" i="17"/>
  <c r="E34" i="17"/>
  <c r="B34" i="17"/>
  <c r="C34" i="17" s="1"/>
  <c r="L34" i="17"/>
  <c r="M34" i="17" s="1"/>
  <c r="T34" i="17"/>
  <c r="U34" i="17" s="1"/>
  <c r="R34" i="17"/>
  <c r="S34" i="17"/>
  <c r="P34" i="17"/>
  <c r="Q34" i="17"/>
  <c r="N34" i="17"/>
  <c r="O34" i="17"/>
  <c r="L23" i="17"/>
  <c r="M23" i="17"/>
  <c r="L22" i="17"/>
  <c r="M22" i="17"/>
  <c r="L21" i="17"/>
  <c r="M21" i="17"/>
  <c r="L20" i="17"/>
  <c r="M20" i="17"/>
  <c r="U54" i="17"/>
  <c r="S54" i="17"/>
  <c r="Q54" i="17"/>
  <c r="O54" i="17"/>
  <c r="M54" i="17"/>
  <c r="I54" i="17"/>
  <c r="G54" i="17"/>
  <c r="E54" i="17"/>
  <c r="C54" i="17"/>
  <c r="U52" i="17"/>
  <c r="S52" i="17"/>
  <c r="Q52" i="17"/>
  <c r="O52" i="17"/>
  <c r="M52" i="17"/>
  <c r="I52" i="17"/>
  <c r="G52" i="17"/>
  <c r="E52" i="17"/>
  <c r="C52" i="17"/>
  <c r="U50" i="17"/>
  <c r="S50" i="17"/>
  <c r="Q50" i="17"/>
  <c r="O50" i="17"/>
  <c r="M50" i="17"/>
  <c r="I50" i="17"/>
  <c r="G50" i="17"/>
  <c r="E50" i="17"/>
  <c r="C50" i="17"/>
  <c r="U49" i="17"/>
  <c r="S49" i="17"/>
  <c r="Q49" i="17"/>
  <c r="O49" i="17"/>
  <c r="M49" i="17"/>
  <c r="I49" i="17"/>
  <c r="G49" i="17"/>
  <c r="E49" i="17"/>
  <c r="C49" i="17"/>
  <c r="U47" i="17"/>
  <c r="S47" i="17"/>
  <c r="Q47" i="17"/>
  <c r="O47" i="17"/>
  <c r="I47" i="17"/>
  <c r="G47" i="17"/>
  <c r="E47" i="17"/>
  <c r="C47" i="17"/>
  <c r="U46" i="17"/>
  <c r="S46" i="17"/>
  <c r="Q46" i="17"/>
  <c r="O46" i="17"/>
  <c r="I46" i="17"/>
  <c r="G46" i="17"/>
  <c r="E46" i="17"/>
  <c r="C46" i="17"/>
  <c r="U45" i="17"/>
  <c r="S45" i="17"/>
  <c r="Q45" i="17"/>
  <c r="O45" i="17"/>
  <c r="I45" i="17"/>
  <c r="G45" i="17"/>
  <c r="E45" i="17"/>
  <c r="C45" i="17"/>
  <c r="U44" i="17"/>
  <c r="S44" i="17"/>
  <c r="Q44" i="17"/>
  <c r="O44" i="17"/>
  <c r="I44" i="17"/>
  <c r="G44" i="17"/>
  <c r="E44" i="17"/>
  <c r="C44" i="17"/>
  <c r="U43" i="17"/>
  <c r="S43" i="17"/>
  <c r="Q43" i="17"/>
  <c r="O43" i="17"/>
  <c r="M43" i="17"/>
  <c r="I43" i="17"/>
  <c r="G43" i="17"/>
  <c r="E43" i="17"/>
  <c r="C43" i="17"/>
  <c r="U42" i="17"/>
  <c r="S42" i="17"/>
  <c r="Q42" i="17"/>
  <c r="O42" i="17"/>
  <c r="M42" i="17"/>
  <c r="I42" i="17"/>
  <c r="G42" i="17"/>
  <c r="E42" i="17"/>
  <c r="C42" i="17"/>
  <c r="U41" i="17"/>
  <c r="S41" i="17"/>
  <c r="Q41" i="17"/>
  <c r="O41" i="17"/>
  <c r="M41" i="17"/>
  <c r="I41" i="17"/>
  <c r="G41" i="17"/>
  <c r="E41" i="17"/>
  <c r="C41" i="17"/>
  <c r="U39" i="17"/>
  <c r="S39" i="17"/>
  <c r="Q39" i="17"/>
  <c r="O39" i="17"/>
  <c r="M39" i="17"/>
  <c r="G39" i="17"/>
  <c r="E39" i="17"/>
  <c r="C39" i="17"/>
  <c r="U38" i="17"/>
  <c r="S38" i="17"/>
  <c r="Q38" i="17"/>
  <c r="O38" i="17"/>
  <c r="G38" i="17"/>
  <c r="E38" i="17"/>
  <c r="C38" i="17"/>
  <c r="U37" i="17"/>
  <c r="S37" i="17"/>
  <c r="Q37" i="17"/>
  <c r="O37" i="17"/>
  <c r="M37" i="17"/>
  <c r="G37" i="17"/>
  <c r="E37" i="17"/>
  <c r="C37" i="17"/>
  <c r="U36" i="17"/>
  <c r="S36" i="17"/>
  <c r="Q36" i="17"/>
  <c r="O36" i="17"/>
  <c r="M36" i="17"/>
  <c r="G36" i="17"/>
  <c r="E36" i="17"/>
  <c r="C36" i="17"/>
  <c r="U35" i="17"/>
  <c r="S35" i="17"/>
  <c r="Q35" i="17"/>
  <c r="O35" i="17"/>
  <c r="M35" i="17"/>
  <c r="G35" i="17"/>
  <c r="E35" i="17"/>
  <c r="C35" i="17"/>
  <c r="U33" i="17"/>
  <c r="S33" i="17"/>
  <c r="Q33" i="17"/>
  <c r="O33" i="17"/>
  <c r="M33" i="17"/>
  <c r="G33" i="17"/>
  <c r="E33" i="17"/>
  <c r="C33" i="17"/>
  <c r="U32" i="17"/>
  <c r="S32" i="17"/>
  <c r="O32" i="17"/>
  <c r="M32" i="17"/>
  <c r="U31" i="17"/>
  <c r="S31" i="17"/>
  <c r="Q31" i="17"/>
  <c r="O31" i="17"/>
  <c r="M31" i="17"/>
  <c r="G31" i="17"/>
  <c r="E31" i="17"/>
  <c r="C31" i="17"/>
  <c r="O29" i="17"/>
  <c r="M29" i="17"/>
  <c r="I29" i="17"/>
  <c r="G29" i="17"/>
  <c r="E29" i="17"/>
  <c r="C29" i="17"/>
  <c r="O28" i="17"/>
  <c r="M28" i="17"/>
  <c r="I28" i="17"/>
  <c r="G28" i="17"/>
  <c r="E28" i="17"/>
  <c r="C28" i="17"/>
  <c r="O27" i="17"/>
  <c r="M27" i="17"/>
  <c r="I27" i="17"/>
  <c r="G27" i="17"/>
  <c r="E27" i="17"/>
  <c r="C27" i="17"/>
  <c r="O26" i="17"/>
  <c r="M26" i="17"/>
  <c r="I26" i="17"/>
  <c r="G26" i="17"/>
  <c r="E26" i="17"/>
  <c r="C26" i="17"/>
  <c r="O25" i="17"/>
  <c r="M25" i="17"/>
  <c r="I25" i="17"/>
  <c r="G25" i="17"/>
  <c r="E25" i="17"/>
  <c r="C25" i="17"/>
  <c r="U23" i="17"/>
  <c r="S23" i="17"/>
  <c r="Q23" i="17"/>
  <c r="O23" i="17"/>
  <c r="I23" i="17"/>
  <c r="G23" i="17"/>
  <c r="E23" i="17"/>
  <c r="C23" i="17"/>
  <c r="U22" i="17"/>
  <c r="S22" i="17"/>
  <c r="Q22" i="17"/>
  <c r="O22" i="17"/>
  <c r="I22" i="17"/>
  <c r="G22" i="17"/>
  <c r="E22" i="17"/>
  <c r="C22" i="17"/>
  <c r="U21" i="17"/>
  <c r="S21" i="17"/>
  <c r="Q21" i="17"/>
  <c r="O21" i="17"/>
  <c r="I21" i="17"/>
  <c r="G21" i="17"/>
  <c r="E21" i="17"/>
  <c r="C21" i="17"/>
  <c r="U20" i="17"/>
  <c r="S20" i="17"/>
  <c r="Q20" i="17"/>
  <c r="O20" i="17"/>
  <c r="I20" i="17"/>
  <c r="G20" i="17"/>
  <c r="E20" i="17"/>
  <c r="C20" i="17"/>
  <c r="T10" i="17"/>
  <c r="R10" i="17"/>
  <c r="P10" i="17"/>
  <c r="N10" i="17"/>
  <c r="H10" i="17"/>
  <c r="F10" i="17"/>
  <c r="D10" i="17"/>
  <c r="B10" i="17"/>
  <c r="U54" i="16"/>
  <c r="S54" i="16"/>
  <c r="Q54" i="16"/>
  <c r="O54" i="16"/>
  <c r="M54" i="16"/>
  <c r="I54" i="16"/>
  <c r="G54" i="16"/>
  <c r="E54" i="16"/>
  <c r="C54" i="16"/>
  <c r="U52" i="16"/>
  <c r="S52" i="16"/>
  <c r="Q52" i="16"/>
  <c r="O52" i="16"/>
  <c r="M52" i="16"/>
  <c r="I52" i="16"/>
  <c r="G52" i="16"/>
  <c r="E52" i="16"/>
  <c r="C52" i="16"/>
  <c r="U50" i="16"/>
  <c r="S50" i="16"/>
  <c r="Q50" i="16"/>
  <c r="O50" i="16"/>
  <c r="M50" i="16"/>
  <c r="I50" i="16"/>
  <c r="G50" i="16"/>
  <c r="E50" i="16"/>
  <c r="C50" i="16"/>
  <c r="U49" i="16"/>
  <c r="S49" i="16"/>
  <c r="Q49" i="16"/>
  <c r="O49" i="16"/>
  <c r="M49" i="16"/>
  <c r="I49" i="16"/>
  <c r="G49" i="16"/>
  <c r="E49" i="16"/>
  <c r="C49" i="16"/>
  <c r="U47" i="16"/>
  <c r="S47" i="16"/>
  <c r="Q47" i="16"/>
  <c r="O47" i="16"/>
  <c r="K47" i="16"/>
  <c r="I47" i="16"/>
  <c r="G47" i="16"/>
  <c r="E47" i="16"/>
  <c r="C47" i="16"/>
  <c r="U46" i="16"/>
  <c r="S46" i="16"/>
  <c r="Q46" i="16"/>
  <c r="O46" i="16"/>
  <c r="K46" i="16"/>
  <c r="I46" i="16"/>
  <c r="G46" i="16"/>
  <c r="E46" i="16"/>
  <c r="C46" i="16"/>
  <c r="U45" i="16"/>
  <c r="S45" i="16"/>
  <c r="Q45" i="16"/>
  <c r="O45" i="16"/>
  <c r="I45" i="16"/>
  <c r="G45" i="16"/>
  <c r="E45" i="16"/>
  <c r="C45" i="16"/>
  <c r="U44" i="16"/>
  <c r="S44" i="16"/>
  <c r="Q44" i="16"/>
  <c r="O44" i="16"/>
  <c r="I44" i="16"/>
  <c r="G44" i="16"/>
  <c r="E44" i="16"/>
  <c r="C44" i="16"/>
  <c r="U43" i="16"/>
  <c r="S43" i="16"/>
  <c r="Q43" i="16"/>
  <c r="O43" i="16"/>
  <c r="M43" i="16"/>
  <c r="I43" i="16"/>
  <c r="G43" i="16"/>
  <c r="E43" i="16"/>
  <c r="C43" i="16"/>
  <c r="U42" i="16"/>
  <c r="S42" i="16"/>
  <c r="Q42" i="16"/>
  <c r="O42" i="16"/>
  <c r="M42" i="16"/>
  <c r="I42" i="16"/>
  <c r="G42" i="16"/>
  <c r="E42" i="16"/>
  <c r="C42" i="16"/>
  <c r="U41" i="16"/>
  <c r="S41" i="16"/>
  <c r="Q41" i="16"/>
  <c r="O41" i="16"/>
  <c r="M41" i="16"/>
  <c r="I41" i="16"/>
  <c r="G41" i="16"/>
  <c r="E41" i="16"/>
  <c r="C41" i="16"/>
  <c r="U39" i="16"/>
  <c r="S39" i="16"/>
  <c r="Q39" i="16"/>
  <c r="O39" i="16"/>
  <c r="G39" i="16"/>
  <c r="E39" i="16"/>
  <c r="C39" i="16"/>
  <c r="U38" i="16"/>
  <c r="S38" i="16"/>
  <c r="Q38" i="16"/>
  <c r="O38" i="16"/>
  <c r="M38" i="16"/>
  <c r="G38" i="16"/>
  <c r="E38" i="16"/>
  <c r="C38" i="16"/>
  <c r="U37" i="16"/>
  <c r="S37" i="16"/>
  <c r="Q37" i="16"/>
  <c r="O37" i="16"/>
  <c r="M37" i="16"/>
  <c r="G37" i="16"/>
  <c r="E37" i="16"/>
  <c r="C37" i="16"/>
  <c r="U36" i="16"/>
  <c r="S36" i="16"/>
  <c r="Q36" i="16"/>
  <c r="O36" i="16"/>
  <c r="M36" i="16"/>
  <c r="G36" i="16"/>
  <c r="E36" i="16"/>
  <c r="C36" i="16"/>
  <c r="U35" i="16"/>
  <c r="S35" i="16"/>
  <c r="Q35" i="16"/>
  <c r="O35" i="16"/>
  <c r="M35" i="16"/>
  <c r="G35" i="16"/>
  <c r="E35" i="16"/>
  <c r="C35" i="16"/>
  <c r="U34" i="16"/>
  <c r="S34" i="16"/>
  <c r="Q34" i="16"/>
  <c r="O34" i="16"/>
  <c r="U33" i="16"/>
  <c r="S33" i="16"/>
  <c r="Q33" i="16"/>
  <c r="O33" i="16"/>
  <c r="M33" i="16"/>
  <c r="G33" i="16"/>
  <c r="E33" i="16"/>
  <c r="C33" i="16"/>
  <c r="U32" i="16"/>
  <c r="S32" i="16"/>
  <c r="Q32" i="16"/>
  <c r="O32" i="16"/>
  <c r="M32" i="16"/>
  <c r="U31" i="16"/>
  <c r="S31" i="16"/>
  <c r="Q31" i="16"/>
  <c r="O31" i="16"/>
  <c r="M31" i="16"/>
  <c r="G31" i="16"/>
  <c r="E31" i="16"/>
  <c r="C31" i="16"/>
  <c r="U29" i="16"/>
  <c r="S29" i="16"/>
  <c r="Q29" i="16"/>
  <c r="O29" i="16"/>
  <c r="M29" i="16"/>
  <c r="I29" i="16"/>
  <c r="G29" i="16"/>
  <c r="E29" i="16"/>
  <c r="C29" i="16"/>
  <c r="U28" i="16"/>
  <c r="S28" i="16"/>
  <c r="Q28" i="16"/>
  <c r="O28" i="16"/>
  <c r="M28" i="16"/>
  <c r="I28" i="16"/>
  <c r="G28" i="16"/>
  <c r="E28" i="16"/>
  <c r="C28" i="16"/>
  <c r="U27" i="16"/>
  <c r="S27" i="16"/>
  <c r="Q27" i="16"/>
  <c r="O27" i="16"/>
  <c r="M27" i="16"/>
  <c r="I27" i="16"/>
  <c r="G27" i="16"/>
  <c r="E27" i="16"/>
  <c r="C27" i="16"/>
  <c r="U26" i="16"/>
  <c r="S26" i="16"/>
  <c r="Q26" i="16"/>
  <c r="O26" i="16"/>
  <c r="M26" i="16"/>
  <c r="I26" i="16"/>
  <c r="G26" i="16"/>
  <c r="E26" i="16"/>
  <c r="C26" i="16"/>
  <c r="U25" i="16"/>
  <c r="S25" i="16"/>
  <c r="Q25" i="16"/>
  <c r="O25" i="16"/>
  <c r="M25" i="16"/>
  <c r="I25" i="16"/>
  <c r="G25" i="16"/>
  <c r="E25" i="16"/>
  <c r="C25" i="16"/>
  <c r="U23" i="16"/>
  <c r="Q23" i="16"/>
  <c r="S23" i="16" s="1"/>
  <c r="O23" i="16"/>
  <c r="I23" i="16"/>
  <c r="G23" i="16"/>
  <c r="E23" i="16"/>
  <c r="C23" i="16"/>
  <c r="U22" i="16"/>
  <c r="S22" i="16"/>
  <c r="Q22" i="16"/>
  <c r="O22" i="16"/>
  <c r="I22" i="16"/>
  <c r="G22" i="16"/>
  <c r="E22" i="16"/>
  <c r="C22" i="16"/>
  <c r="U21" i="16"/>
  <c r="S21" i="16"/>
  <c r="Q21" i="16"/>
  <c r="O21" i="16"/>
  <c r="I21" i="16"/>
  <c r="G21" i="16"/>
  <c r="E21" i="16"/>
  <c r="C21" i="16"/>
  <c r="U20" i="16"/>
  <c r="S20" i="16"/>
  <c r="Q20" i="16"/>
  <c r="O20" i="16"/>
  <c r="I20" i="16"/>
  <c r="G20" i="16"/>
  <c r="E20" i="16"/>
  <c r="C20" i="16"/>
  <c r="T10" i="16"/>
  <c r="R10" i="16"/>
  <c r="P10" i="16"/>
  <c r="N10" i="16"/>
  <c r="H10" i="16"/>
  <c r="F10" i="16"/>
  <c r="D10" i="16"/>
  <c r="B10" i="16"/>
  <c r="T10" i="15"/>
  <c r="R10" i="15"/>
  <c r="P10" i="15"/>
  <c r="N10" i="15"/>
  <c r="H10" i="15"/>
  <c r="F10" i="15"/>
  <c r="D10" i="15"/>
  <c r="B10" i="15"/>
  <c r="G58" i="12"/>
  <c r="Q66" i="12"/>
  <c r="Q65" i="12"/>
  <c r="Q64" i="12"/>
  <c r="Q63" i="12"/>
  <c r="Q62" i="12"/>
  <c r="Q61" i="12"/>
  <c r="O66" i="12"/>
  <c r="O65" i="12"/>
  <c r="O64" i="12"/>
  <c r="O63" i="12"/>
  <c r="O62" i="12"/>
  <c r="O61" i="12"/>
  <c r="M66" i="12"/>
  <c r="M65" i="12"/>
  <c r="M64" i="12"/>
  <c r="M63" i="12"/>
  <c r="M62" i="12"/>
  <c r="M61" i="12"/>
  <c r="K61" i="12"/>
  <c r="K62" i="12"/>
  <c r="K63" i="12"/>
  <c r="K64" i="12"/>
  <c r="K65" i="12"/>
  <c r="K66" i="12"/>
  <c r="I66" i="12"/>
  <c r="I65" i="12"/>
  <c r="I64" i="12"/>
  <c r="I63" i="12"/>
  <c r="I62" i="12"/>
  <c r="I61" i="12"/>
  <c r="G66" i="12"/>
  <c r="G65" i="12"/>
  <c r="G64" i="12"/>
  <c r="G63" i="12"/>
  <c r="G62" i="12"/>
  <c r="G61" i="12"/>
  <c r="E66" i="12"/>
  <c r="E65" i="12"/>
  <c r="E64" i="12"/>
  <c r="E63" i="12"/>
  <c r="E62" i="12"/>
  <c r="E61" i="12"/>
  <c r="C61" i="12"/>
  <c r="C62" i="12"/>
  <c r="C63" i="12"/>
  <c r="C64" i="12"/>
  <c r="C65" i="12"/>
  <c r="C66" i="12"/>
  <c r="D66" i="10"/>
  <c r="E66" i="10" s="1"/>
  <c r="F66" i="10"/>
  <c r="G66" i="10" s="1"/>
  <c r="H66" i="10"/>
  <c r="I66" i="10"/>
  <c r="B66" i="10"/>
  <c r="L66" i="11"/>
  <c r="M66" i="11"/>
  <c r="N66" i="11"/>
  <c r="O66" i="11"/>
  <c r="P66" i="11"/>
  <c r="Q66" i="11"/>
  <c r="J66" i="11"/>
  <c r="K66" i="11"/>
  <c r="B66" i="11"/>
  <c r="C66" i="11" s="1"/>
  <c r="F66" i="11"/>
  <c r="G66" i="11" s="1"/>
  <c r="H66" i="11"/>
  <c r="I66" i="11" s="1"/>
  <c r="D66" i="11"/>
  <c r="E66" i="11" s="1"/>
  <c r="Q26" i="11"/>
  <c r="Q27" i="11"/>
  <c r="Q29" i="11"/>
  <c r="Q30" i="11"/>
  <c r="Q31" i="11"/>
  <c r="Q20" i="11"/>
  <c r="Q21" i="11"/>
  <c r="Q22" i="11"/>
  <c r="Q23" i="11"/>
  <c r="Q24" i="11"/>
  <c r="Q14" i="11"/>
  <c r="Q15" i="11"/>
  <c r="O14" i="11"/>
  <c r="O15" i="11"/>
  <c r="O16" i="11"/>
  <c r="Q16" i="11"/>
  <c r="O17" i="11"/>
  <c r="Q17" i="11"/>
  <c r="O18" i="11"/>
  <c r="Q18" i="11"/>
  <c r="I38" i="11"/>
  <c r="I39" i="11"/>
  <c r="I40" i="11"/>
  <c r="I41" i="11"/>
  <c r="E38" i="11"/>
  <c r="E39" i="11"/>
  <c r="E40" i="11"/>
  <c r="E41" i="11"/>
  <c r="I33" i="11"/>
  <c r="I34" i="11"/>
  <c r="I35" i="11"/>
  <c r="I36" i="11"/>
  <c r="E33" i="11"/>
  <c r="G33" i="11"/>
  <c r="E34" i="11"/>
  <c r="G34" i="11"/>
  <c r="E35" i="11"/>
  <c r="G35" i="11"/>
  <c r="E36" i="11"/>
  <c r="G36" i="11"/>
  <c r="E26" i="11"/>
  <c r="G26" i="11"/>
  <c r="E27" i="11"/>
  <c r="G27" i="11"/>
  <c r="E28" i="11"/>
  <c r="G28" i="11"/>
  <c r="E29" i="11"/>
  <c r="G29" i="11"/>
  <c r="E30" i="11"/>
  <c r="G30" i="11"/>
  <c r="E31" i="11"/>
  <c r="G31" i="11"/>
  <c r="C20" i="10"/>
  <c r="C21" i="10"/>
  <c r="C22" i="10"/>
  <c r="C23" i="10"/>
  <c r="Q14" i="10"/>
  <c r="Q15" i="10"/>
  <c r="Q16" i="10"/>
  <c r="O14" i="10"/>
  <c r="O15" i="10"/>
  <c r="O16" i="10"/>
  <c r="M14" i="10"/>
  <c r="M15" i="10"/>
  <c r="M16" i="10"/>
  <c r="K14" i="10"/>
  <c r="K15" i="10"/>
  <c r="K16" i="10"/>
  <c r="C15" i="10"/>
  <c r="C16" i="10"/>
  <c r="C17" i="10"/>
  <c r="C18" i="10"/>
  <c r="Q41" i="10"/>
  <c r="O41" i="10"/>
  <c r="M41" i="10"/>
  <c r="K41" i="10"/>
  <c r="I41" i="10"/>
  <c r="G41" i="10"/>
  <c r="E41" i="10"/>
  <c r="C41" i="10"/>
  <c r="Q40" i="10"/>
  <c r="O40" i="10"/>
  <c r="M40" i="10"/>
  <c r="K40" i="10"/>
  <c r="I40" i="10"/>
  <c r="G40" i="10"/>
  <c r="E40" i="10"/>
  <c r="C40" i="10"/>
  <c r="Q39" i="10"/>
  <c r="O39" i="10"/>
  <c r="M39" i="10"/>
  <c r="K39" i="10"/>
  <c r="I39" i="10"/>
  <c r="G39" i="10"/>
  <c r="E39" i="10"/>
  <c r="C39" i="10"/>
  <c r="Q38" i="10"/>
  <c r="O38" i="10"/>
  <c r="M38" i="10"/>
  <c r="K38" i="10"/>
  <c r="I38" i="10"/>
  <c r="G38" i="10"/>
  <c r="E38" i="10"/>
  <c r="C38" i="10"/>
  <c r="Q36" i="10"/>
  <c r="O36" i="10"/>
  <c r="M36" i="10"/>
  <c r="K36" i="10"/>
  <c r="I36" i="10"/>
  <c r="G36" i="10"/>
  <c r="E36" i="10"/>
  <c r="C36" i="10"/>
  <c r="Q35" i="10"/>
  <c r="O35" i="10"/>
  <c r="M35" i="10"/>
  <c r="K35" i="10"/>
  <c r="I35" i="10"/>
  <c r="G35" i="10"/>
  <c r="E35" i="10"/>
  <c r="C35" i="10"/>
  <c r="Q34" i="10"/>
  <c r="O34" i="10"/>
  <c r="M34" i="10"/>
  <c r="K34" i="10"/>
  <c r="I34" i="10"/>
  <c r="G34" i="10"/>
  <c r="E34" i="10"/>
  <c r="C34" i="10"/>
  <c r="Q33" i="10"/>
  <c r="O33" i="10"/>
  <c r="M33" i="10"/>
  <c r="K33" i="10"/>
  <c r="I33" i="10"/>
  <c r="G33" i="10"/>
  <c r="E33" i="10"/>
  <c r="C33" i="10"/>
  <c r="Q31" i="10"/>
  <c r="O31" i="10"/>
  <c r="M31" i="10"/>
  <c r="K31" i="10"/>
  <c r="G31" i="10"/>
  <c r="E31" i="10"/>
  <c r="C31" i="10"/>
  <c r="Q30" i="10"/>
  <c r="O30" i="10"/>
  <c r="M30" i="10"/>
  <c r="K30" i="10"/>
  <c r="G30" i="10"/>
  <c r="E30" i="10"/>
  <c r="C30" i="10"/>
  <c r="Q29" i="10"/>
  <c r="O29" i="10"/>
  <c r="M29" i="10"/>
  <c r="K29" i="10"/>
  <c r="G29" i="10"/>
  <c r="E29" i="10"/>
  <c r="C29" i="10"/>
  <c r="M28" i="10"/>
  <c r="K28" i="10"/>
  <c r="G28" i="10"/>
  <c r="E28" i="10"/>
  <c r="C28" i="10"/>
  <c r="Q27" i="10"/>
  <c r="O27" i="10"/>
  <c r="M27" i="10"/>
  <c r="K27" i="10"/>
  <c r="G27" i="10"/>
  <c r="E27" i="10"/>
  <c r="C27" i="10"/>
  <c r="Q26" i="10"/>
  <c r="O26" i="10"/>
  <c r="M26" i="10"/>
  <c r="K26" i="10"/>
  <c r="G26" i="10"/>
  <c r="E26" i="10"/>
  <c r="C26" i="10"/>
  <c r="Q24" i="10"/>
  <c r="O24" i="10"/>
  <c r="M24" i="10"/>
  <c r="K24" i="10"/>
  <c r="I24" i="10"/>
  <c r="G24" i="10"/>
  <c r="E24" i="10"/>
  <c r="C24" i="10"/>
  <c r="Q23" i="10"/>
  <c r="O23" i="10"/>
  <c r="M23" i="10"/>
  <c r="K23" i="10"/>
  <c r="I23" i="10"/>
  <c r="G23" i="10"/>
  <c r="E23" i="10"/>
  <c r="Q22" i="10"/>
  <c r="O22" i="10"/>
  <c r="M22" i="10"/>
  <c r="K22" i="10"/>
  <c r="I22" i="10"/>
  <c r="G22" i="10"/>
  <c r="E22" i="10"/>
  <c r="Q21" i="10"/>
  <c r="O21" i="10"/>
  <c r="M21" i="10"/>
  <c r="K21" i="10"/>
  <c r="I21" i="10"/>
  <c r="G21" i="10"/>
  <c r="E21" i="10"/>
  <c r="Q20" i="10"/>
  <c r="O20" i="10"/>
  <c r="M20" i="10"/>
  <c r="K20" i="10"/>
  <c r="I20" i="10"/>
  <c r="G20" i="10"/>
  <c r="E20" i="10"/>
  <c r="Q18" i="10"/>
  <c r="O18" i="10"/>
  <c r="M18" i="10"/>
  <c r="K18" i="10"/>
  <c r="G18" i="10"/>
  <c r="E18" i="10"/>
  <c r="Q17" i="10"/>
  <c r="O17" i="10"/>
  <c r="M17" i="10"/>
  <c r="K17" i="10"/>
  <c r="G17" i="10"/>
  <c r="E17" i="10"/>
  <c r="G15" i="10"/>
  <c r="E15" i="10"/>
  <c r="G14" i="10"/>
  <c r="E14" i="10"/>
  <c r="C14" i="10"/>
  <c r="E20" i="11"/>
  <c r="G20" i="11"/>
  <c r="E21" i="11"/>
  <c r="G21" i="11"/>
  <c r="E22" i="11"/>
  <c r="G22" i="11"/>
  <c r="E23" i="11"/>
  <c r="G23" i="11"/>
  <c r="E24" i="11"/>
  <c r="G24" i="11"/>
  <c r="E14" i="11"/>
  <c r="G14" i="11"/>
  <c r="E15" i="11"/>
  <c r="G15" i="11"/>
  <c r="E16" i="11"/>
  <c r="G16" i="11"/>
  <c r="E17" i="11"/>
  <c r="G17" i="11"/>
  <c r="E18" i="11"/>
  <c r="G18" i="11"/>
  <c r="C16" i="11"/>
  <c r="M30" i="12"/>
  <c r="K14" i="12"/>
  <c r="K15" i="12"/>
  <c r="K16" i="12"/>
  <c r="Q14" i="12"/>
  <c r="Q15" i="12"/>
  <c r="O14" i="12"/>
  <c r="O15" i="12"/>
  <c r="M14" i="12"/>
  <c r="M15" i="12"/>
  <c r="E38" i="12"/>
  <c r="G38" i="12"/>
  <c r="I38" i="12"/>
  <c r="E39" i="12"/>
  <c r="G39" i="12"/>
  <c r="I39" i="12"/>
  <c r="E40" i="12"/>
  <c r="G40" i="12"/>
  <c r="I40" i="12"/>
  <c r="E41" i="12"/>
  <c r="G41" i="12"/>
  <c r="I41" i="12"/>
  <c r="E26" i="12"/>
  <c r="G26" i="12"/>
  <c r="E27" i="12"/>
  <c r="G27" i="12"/>
  <c r="E28" i="12"/>
  <c r="G28" i="12"/>
  <c r="E29" i="12"/>
  <c r="G29" i="12"/>
  <c r="E30" i="12"/>
  <c r="G30" i="12"/>
  <c r="E31" i="12"/>
  <c r="G31" i="12"/>
  <c r="E14" i="12"/>
  <c r="G14" i="12"/>
  <c r="E15" i="12"/>
  <c r="G15" i="12"/>
  <c r="E17" i="12"/>
  <c r="G17" i="12"/>
  <c r="E18" i="12"/>
  <c r="G18" i="12"/>
  <c r="E20" i="12"/>
  <c r="G20" i="12"/>
  <c r="E21" i="12"/>
  <c r="G21" i="12"/>
  <c r="E22" i="12"/>
  <c r="G22" i="12"/>
  <c r="E23" i="12"/>
  <c r="G23" i="12"/>
  <c r="E24" i="12"/>
  <c r="G24" i="12"/>
  <c r="C14" i="12"/>
  <c r="C15" i="12"/>
  <c r="C17" i="12"/>
  <c r="C18" i="12"/>
  <c r="C20" i="12"/>
  <c r="C21" i="12"/>
  <c r="C22" i="12"/>
  <c r="C23" i="12"/>
  <c r="C24" i="12"/>
  <c r="Q58" i="12"/>
  <c r="O58" i="12"/>
  <c r="M58" i="12"/>
  <c r="K58" i="12"/>
  <c r="I58" i="12"/>
  <c r="E58" i="12"/>
  <c r="C58" i="12"/>
  <c r="Q57" i="12"/>
  <c r="O57" i="12"/>
  <c r="M57" i="12"/>
  <c r="K57" i="12"/>
  <c r="I57" i="12"/>
  <c r="G57" i="12"/>
  <c r="E57" i="12"/>
  <c r="C57" i="12"/>
  <c r="Q56" i="12"/>
  <c r="O56" i="12"/>
  <c r="M56" i="12"/>
  <c r="K56" i="12"/>
  <c r="I56" i="12"/>
  <c r="G56" i="12"/>
  <c r="E56" i="12"/>
  <c r="C56" i="12"/>
  <c r="Q55" i="12"/>
  <c r="O55" i="12"/>
  <c r="M55" i="12"/>
  <c r="K55" i="12"/>
  <c r="I55" i="12"/>
  <c r="G55" i="12"/>
  <c r="E55" i="12"/>
  <c r="C55" i="12"/>
  <c r="Q54" i="12"/>
  <c r="O54" i="12"/>
  <c r="M54" i="12"/>
  <c r="K54" i="12"/>
  <c r="I54" i="12"/>
  <c r="G54" i="12"/>
  <c r="E54" i="12"/>
  <c r="C54" i="12"/>
  <c r="Q53" i="12"/>
  <c r="O53" i="12"/>
  <c r="M53" i="12"/>
  <c r="K53" i="12"/>
  <c r="I53" i="12"/>
  <c r="G53" i="12"/>
  <c r="E53" i="12"/>
  <c r="C53" i="12"/>
  <c r="Q41" i="12"/>
  <c r="O41" i="12"/>
  <c r="M41" i="12"/>
  <c r="K41" i="12"/>
  <c r="C41" i="12"/>
  <c r="Q40" i="12"/>
  <c r="O40" i="12"/>
  <c r="M40" i="12"/>
  <c r="K40" i="12"/>
  <c r="C40" i="12"/>
  <c r="Q39" i="12"/>
  <c r="O39" i="12"/>
  <c r="M39" i="12"/>
  <c r="K39" i="12"/>
  <c r="C39" i="12"/>
  <c r="Q38" i="12"/>
  <c r="O38" i="12"/>
  <c r="M38" i="12"/>
  <c r="K38" i="12"/>
  <c r="C38" i="12"/>
  <c r="Q36" i="12"/>
  <c r="O36" i="12"/>
  <c r="M36" i="12"/>
  <c r="K36" i="12"/>
  <c r="I36" i="12"/>
  <c r="G36" i="12"/>
  <c r="E36" i="12"/>
  <c r="C36" i="12"/>
  <c r="Q35" i="12"/>
  <c r="O35" i="12"/>
  <c r="M35" i="12"/>
  <c r="K35" i="12"/>
  <c r="I35" i="12"/>
  <c r="G35" i="12"/>
  <c r="E35" i="12"/>
  <c r="C35" i="12"/>
  <c r="Q34" i="12"/>
  <c r="O34" i="12"/>
  <c r="M34" i="12"/>
  <c r="K34" i="12"/>
  <c r="I34" i="12"/>
  <c r="G34" i="12"/>
  <c r="E34" i="12"/>
  <c r="C34" i="12"/>
  <c r="Q33" i="12"/>
  <c r="O33" i="12"/>
  <c r="M33" i="12"/>
  <c r="K33" i="12"/>
  <c r="I33" i="12"/>
  <c r="G33" i="12"/>
  <c r="E33" i="12"/>
  <c r="C33" i="12"/>
  <c r="Q31" i="12"/>
  <c r="O31" i="12"/>
  <c r="M31" i="12"/>
  <c r="K31" i="12"/>
  <c r="C31" i="12"/>
  <c r="Q30" i="12"/>
  <c r="O30" i="12"/>
  <c r="K30" i="12"/>
  <c r="C30" i="12"/>
  <c r="Q29" i="12"/>
  <c r="O29" i="12"/>
  <c r="M29" i="12"/>
  <c r="K29" i="12"/>
  <c r="C29" i="12"/>
  <c r="M28" i="12"/>
  <c r="K28" i="12"/>
  <c r="C28" i="12"/>
  <c r="Q27" i="12"/>
  <c r="O27" i="12"/>
  <c r="M27" i="12"/>
  <c r="K27" i="12"/>
  <c r="C27" i="12"/>
  <c r="Q26" i="12"/>
  <c r="O26" i="12"/>
  <c r="M26" i="12"/>
  <c r="K26" i="12"/>
  <c r="C26" i="12"/>
  <c r="Q24" i="12"/>
  <c r="O24" i="12"/>
  <c r="M24" i="12"/>
  <c r="K24" i="12"/>
  <c r="I24" i="12"/>
  <c r="Q23" i="12"/>
  <c r="O23" i="12"/>
  <c r="M23" i="12"/>
  <c r="K23" i="12"/>
  <c r="I23" i="12"/>
  <c r="Q22" i="12"/>
  <c r="O22" i="12"/>
  <c r="M22" i="12"/>
  <c r="K22" i="12"/>
  <c r="I22" i="12"/>
  <c r="Q21" i="12"/>
  <c r="O21" i="12"/>
  <c r="M21" i="12"/>
  <c r="K21" i="12"/>
  <c r="I21" i="12"/>
  <c r="Q20" i="12"/>
  <c r="O20" i="12"/>
  <c r="M20" i="12"/>
  <c r="K20" i="12"/>
  <c r="I20" i="12"/>
  <c r="Q18" i="12"/>
  <c r="O18" i="12"/>
  <c r="M18" i="12"/>
  <c r="K18" i="12"/>
  <c r="Q17" i="12"/>
  <c r="O17" i="12"/>
  <c r="M17" i="12"/>
  <c r="K17" i="12"/>
  <c r="Q16" i="12"/>
  <c r="O16" i="12"/>
  <c r="M16" i="12"/>
  <c r="P11" i="12"/>
  <c r="N11" i="12"/>
  <c r="L11" i="12"/>
  <c r="J11" i="12"/>
  <c r="H11" i="12"/>
  <c r="F11" i="12"/>
  <c r="D11" i="12"/>
  <c r="B11" i="12"/>
  <c r="Q65" i="11"/>
  <c r="O65" i="11"/>
  <c r="M65" i="11"/>
  <c r="K65" i="11"/>
  <c r="I65" i="11"/>
  <c r="G65" i="11"/>
  <c r="E65" i="11"/>
  <c r="C65" i="11"/>
  <c r="Q64" i="11"/>
  <c r="O64" i="11"/>
  <c r="M64" i="11"/>
  <c r="K64" i="11"/>
  <c r="I64" i="11"/>
  <c r="G64" i="11"/>
  <c r="E64" i="11"/>
  <c r="C64" i="11"/>
  <c r="Q63" i="11"/>
  <c r="O63" i="11"/>
  <c r="M63" i="11"/>
  <c r="K63" i="11"/>
  <c r="I63" i="11"/>
  <c r="G63" i="11"/>
  <c r="E63" i="11"/>
  <c r="C63" i="11"/>
  <c r="Q62" i="11"/>
  <c r="O62" i="11"/>
  <c r="M62" i="11"/>
  <c r="K62" i="11"/>
  <c r="I62" i="11"/>
  <c r="G62" i="11"/>
  <c r="E62" i="11"/>
  <c r="C62" i="11"/>
  <c r="Q61" i="11"/>
  <c r="O61" i="11"/>
  <c r="M61" i="11"/>
  <c r="K61" i="11"/>
  <c r="I61" i="11"/>
  <c r="G61" i="11"/>
  <c r="E61" i="11"/>
  <c r="C61" i="11"/>
  <c r="Q60" i="11"/>
  <c r="O60" i="11"/>
  <c r="M60" i="11"/>
  <c r="K60" i="11"/>
  <c r="I60" i="11"/>
  <c r="G60" i="11"/>
  <c r="E60" i="11"/>
  <c r="C60" i="11"/>
  <c r="Q58" i="11"/>
  <c r="O58" i="11"/>
  <c r="M58" i="11"/>
  <c r="K58" i="11"/>
  <c r="I58" i="11"/>
  <c r="G58" i="11"/>
  <c r="E58" i="11"/>
  <c r="C58" i="11"/>
  <c r="Q57" i="11"/>
  <c r="O57" i="11"/>
  <c r="M57" i="11"/>
  <c r="K57" i="11"/>
  <c r="I57" i="11"/>
  <c r="G57" i="11"/>
  <c r="E57" i="11"/>
  <c r="C57" i="11"/>
  <c r="Q56" i="11"/>
  <c r="O56" i="11"/>
  <c r="M56" i="11"/>
  <c r="K56" i="11"/>
  <c r="I56" i="11"/>
  <c r="G56" i="11"/>
  <c r="E56" i="11"/>
  <c r="C56" i="11"/>
  <c r="Q55" i="11"/>
  <c r="O55" i="11"/>
  <c r="M55" i="11"/>
  <c r="K55" i="11"/>
  <c r="I55" i="11"/>
  <c r="G55" i="11"/>
  <c r="E55" i="11"/>
  <c r="C55" i="11"/>
  <c r="Q54" i="11"/>
  <c r="O54" i="11"/>
  <c r="M54" i="11"/>
  <c r="K54" i="11"/>
  <c r="I54" i="11"/>
  <c r="G54" i="11"/>
  <c r="E54" i="11"/>
  <c r="C54" i="11"/>
  <c r="Q53" i="11"/>
  <c r="O53" i="11"/>
  <c r="M53" i="11"/>
  <c r="K53" i="11"/>
  <c r="I53" i="11"/>
  <c r="G53" i="11"/>
  <c r="E53" i="11"/>
  <c r="C53" i="11"/>
  <c r="Q41" i="11"/>
  <c r="O41" i="11"/>
  <c r="M41" i="11"/>
  <c r="K41" i="11"/>
  <c r="G41" i="11"/>
  <c r="C41" i="11"/>
  <c r="Q40" i="11"/>
  <c r="O40" i="11"/>
  <c r="M40" i="11"/>
  <c r="K40" i="11"/>
  <c r="G40" i="11"/>
  <c r="C40" i="11"/>
  <c r="Q39" i="11"/>
  <c r="O39" i="11"/>
  <c r="M39" i="11"/>
  <c r="K39" i="11"/>
  <c r="G39" i="11"/>
  <c r="C39" i="11"/>
  <c r="Q38" i="11"/>
  <c r="O38" i="11"/>
  <c r="M38" i="11"/>
  <c r="K38" i="11"/>
  <c r="G38" i="11"/>
  <c r="C38" i="11"/>
  <c r="Q36" i="11"/>
  <c r="O36" i="11"/>
  <c r="M36" i="11"/>
  <c r="K36" i="11"/>
  <c r="C36" i="11"/>
  <c r="Q35" i="11"/>
  <c r="O35" i="11"/>
  <c r="M35" i="11"/>
  <c r="K35" i="11"/>
  <c r="C35" i="11"/>
  <c r="Q34" i="11"/>
  <c r="O34" i="11"/>
  <c r="M34" i="11"/>
  <c r="K34" i="11"/>
  <c r="C34" i="11"/>
  <c r="Q33" i="11"/>
  <c r="O33" i="11"/>
  <c r="M33" i="11"/>
  <c r="K33" i="11"/>
  <c r="C33" i="11"/>
  <c r="O31" i="11"/>
  <c r="M31" i="11"/>
  <c r="K31" i="11"/>
  <c r="C31" i="11"/>
  <c r="O30" i="11"/>
  <c r="M30" i="11"/>
  <c r="K30" i="11"/>
  <c r="C30" i="11"/>
  <c r="O29" i="11"/>
  <c r="M29" i="11"/>
  <c r="K29" i="11"/>
  <c r="C29" i="11"/>
  <c r="M28" i="11"/>
  <c r="K28" i="11"/>
  <c r="C28" i="11"/>
  <c r="O27" i="11"/>
  <c r="M27" i="11"/>
  <c r="K27" i="11"/>
  <c r="C27" i="11"/>
  <c r="O26" i="11"/>
  <c r="M26" i="11"/>
  <c r="K26" i="11"/>
  <c r="C26" i="11"/>
  <c r="O24" i="11"/>
  <c r="M24" i="11"/>
  <c r="K24" i="11"/>
  <c r="I24" i="11"/>
  <c r="C24" i="11"/>
  <c r="O23" i="11"/>
  <c r="M23" i="11"/>
  <c r="K23" i="11"/>
  <c r="I23" i="11"/>
  <c r="C23" i="11"/>
  <c r="O22" i="11"/>
  <c r="M22" i="11"/>
  <c r="K22" i="11"/>
  <c r="I22" i="11"/>
  <c r="C22" i="11"/>
  <c r="O21" i="11"/>
  <c r="M21" i="11"/>
  <c r="K21" i="11"/>
  <c r="I21" i="11"/>
  <c r="C21" i="11"/>
  <c r="O20" i="11"/>
  <c r="M20" i="11"/>
  <c r="K20" i="11"/>
  <c r="I20" i="11"/>
  <c r="C20" i="11"/>
  <c r="M18" i="11"/>
  <c r="K18" i="11"/>
  <c r="C18" i="11"/>
  <c r="M17" i="11"/>
  <c r="K17" i="11"/>
  <c r="C17" i="11"/>
  <c r="M16" i="11"/>
  <c r="K16" i="11"/>
  <c r="C15" i="11"/>
  <c r="C14" i="11"/>
  <c r="P11" i="11"/>
  <c r="N11" i="11"/>
  <c r="L11" i="11"/>
  <c r="J11" i="11"/>
  <c r="H11" i="11"/>
  <c r="F11" i="11"/>
  <c r="D11" i="11"/>
  <c r="B11" i="11"/>
  <c r="P11" i="10"/>
  <c r="N11" i="10"/>
  <c r="L11" i="10"/>
  <c r="J11" i="10"/>
  <c r="H11" i="10"/>
  <c r="F11" i="10"/>
  <c r="D11" i="10"/>
  <c r="B11" i="10"/>
  <c r="P66" i="10"/>
  <c r="Q66" i="10"/>
  <c r="N66" i="10"/>
  <c r="O66" i="10"/>
  <c r="L66" i="10"/>
  <c r="M66" i="10"/>
  <c r="J66" i="10"/>
  <c r="K66" i="10"/>
  <c r="C66" i="10"/>
  <c r="Q65" i="10"/>
  <c r="O65" i="10"/>
  <c r="M65" i="10"/>
  <c r="K65" i="10"/>
  <c r="I65" i="10"/>
  <c r="G65" i="10"/>
  <c r="E65" i="10"/>
  <c r="C65" i="10"/>
  <c r="Q64" i="10"/>
  <c r="O64" i="10"/>
  <c r="M64" i="10"/>
  <c r="K64" i="10"/>
  <c r="I64" i="10"/>
  <c r="G64" i="10"/>
  <c r="E64" i="10"/>
  <c r="C64" i="10"/>
  <c r="Q63" i="10"/>
  <c r="O63" i="10"/>
  <c r="M63" i="10"/>
  <c r="K63" i="10"/>
  <c r="I63" i="10"/>
  <c r="G63" i="10"/>
  <c r="E63" i="10"/>
  <c r="C63" i="10"/>
  <c r="Q62" i="10"/>
  <c r="O62" i="10"/>
  <c r="M62" i="10"/>
  <c r="K62" i="10"/>
  <c r="I62" i="10"/>
  <c r="G62" i="10"/>
  <c r="E62" i="10"/>
  <c r="C62" i="10"/>
  <c r="Q61" i="10"/>
  <c r="O61" i="10"/>
  <c r="M61" i="10"/>
  <c r="K61" i="10"/>
  <c r="I61" i="10"/>
  <c r="G61" i="10"/>
  <c r="E61" i="10"/>
  <c r="C61" i="10"/>
  <c r="Q58" i="10"/>
  <c r="O58" i="10"/>
  <c r="M58" i="10"/>
  <c r="K58" i="10"/>
  <c r="I58" i="10"/>
  <c r="G58" i="10"/>
  <c r="E58" i="10"/>
  <c r="C58" i="10"/>
  <c r="Q57" i="10"/>
  <c r="O57" i="10"/>
  <c r="M57" i="10"/>
  <c r="K57" i="10"/>
  <c r="I57" i="10"/>
  <c r="G57" i="10"/>
  <c r="E57" i="10"/>
  <c r="C57" i="10"/>
  <c r="Q56" i="10"/>
  <c r="O56" i="10"/>
  <c r="M56" i="10"/>
  <c r="K56" i="10"/>
  <c r="I56" i="10"/>
  <c r="G56" i="10"/>
  <c r="E56" i="10"/>
  <c r="C56" i="10"/>
  <c r="Q55" i="10"/>
  <c r="O55" i="10"/>
  <c r="M55" i="10"/>
  <c r="K55" i="10"/>
  <c r="I55" i="10"/>
  <c r="G55" i="10"/>
  <c r="E55" i="10"/>
  <c r="C55" i="10"/>
  <c r="Q54" i="10"/>
  <c r="O54" i="10"/>
  <c r="M54" i="10"/>
  <c r="K54" i="10"/>
  <c r="I54" i="10"/>
  <c r="G54" i="10"/>
  <c r="E54" i="10"/>
  <c r="C54" i="10"/>
  <c r="Q53" i="10"/>
  <c r="O53" i="10"/>
  <c r="M53" i="10"/>
  <c r="K53" i="10"/>
  <c r="I53" i="10"/>
  <c r="G53" i="10"/>
  <c r="E53" i="10"/>
  <c r="C53" i="10"/>
  <c r="U79" i="4"/>
  <c r="U79" i="15" s="1"/>
  <c r="S79" i="4"/>
  <c r="S79" i="15" s="1"/>
  <c r="Q79" i="4"/>
  <c r="Q79" i="15" s="1"/>
  <c r="O79" i="4"/>
  <c r="O79" i="15" s="1"/>
  <c r="I79" i="4"/>
  <c r="I79" i="15" s="1"/>
  <c r="G79" i="4"/>
  <c r="G79" i="15" s="1"/>
  <c r="E79" i="4"/>
  <c r="E79" i="15" s="1"/>
  <c r="C79" i="4"/>
  <c r="C79" i="15" s="1"/>
  <c r="U78" i="4"/>
  <c r="U78" i="15" s="1"/>
  <c r="S78" i="4"/>
  <c r="S78" i="15" s="1"/>
  <c r="Q78" i="4"/>
  <c r="Q78" i="15" s="1"/>
  <c r="O78" i="4"/>
  <c r="O78" i="15" s="1"/>
  <c r="I78" i="4"/>
  <c r="I78" i="15" s="1"/>
  <c r="G78" i="4"/>
  <c r="G78" i="15" s="1"/>
  <c r="E78" i="4"/>
  <c r="E78" i="15" s="1"/>
  <c r="C78" i="4"/>
  <c r="C78" i="15" s="1"/>
  <c r="U77" i="4"/>
  <c r="U77" i="15" s="1"/>
  <c r="S77" i="4"/>
  <c r="S77" i="15" s="1"/>
  <c r="Q77" i="4"/>
  <c r="Q77" i="15" s="1"/>
  <c r="O77" i="4"/>
  <c r="O77" i="15" s="1"/>
  <c r="I77" i="4"/>
  <c r="I77" i="15" s="1"/>
  <c r="G77" i="4"/>
  <c r="G77" i="15" s="1"/>
  <c r="E77" i="4"/>
  <c r="E77" i="15" s="1"/>
  <c r="C77" i="4"/>
  <c r="C77" i="15" s="1"/>
  <c r="U76" i="4"/>
  <c r="U76" i="15" s="1"/>
  <c r="S76" i="4"/>
  <c r="S76" i="15" s="1"/>
  <c r="Q76" i="4"/>
  <c r="Q76" i="15" s="1"/>
  <c r="O76" i="4"/>
  <c r="O76" i="15" s="1"/>
  <c r="I76" i="4"/>
  <c r="I76" i="15" s="1"/>
  <c r="G76" i="4"/>
  <c r="G76" i="15" s="1"/>
  <c r="E76" i="4"/>
  <c r="E76" i="15" s="1"/>
  <c r="C76" i="4"/>
  <c r="C76" i="15" s="1"/>
  <c r="U75" i="4"/>
  <c r="U75" i="15" s="1"/>
  <c r="S75" i="4"/>
  <c r="S75" i="15" s="1"/>
  <c r="Q75" i="4"/>
  <c r="Q75" i="15" s="1"/>
  <c r="O75" i="4"/>
  <c r="O75" i="15" s="1"/>
  <c r="I75" i="4"/>
  <c r="I75" i="15" s="1"/>
  <c r="G75" i="4"/>
  <c r="G75" i="15" s="1"/>
  <c r="E75" i="4"/>
  <c r="E75" i="15" s="1"/>
  <c r="C75" i="4"/>
  <c r="C75" i="15" s="1"/>
  <c r="U74" i="4"/>
  <c r="U74" i="15" s="1"/>
  <c r="S74" i="4"/>
  <c r="S74" i="15" s="1"/>
  <c r="Q74" i="4"/>
  <c r="O74" i="4"/>
  <c r="I74" i="4"/>
  <c r="I74" i="15" s="1"/>
  <c r="G74" i="4"/>
  <c r="G74" i="15" s="1"/>
  <c r="E74" i="4"/>
  <c r="E74" i="15" s="1"/>
  <c r="C74" i="4"/>
  <c r="C74" i="15" s="1"/>
  <c r="U73" i="4"/>
  <c r="U73" i="15" s="1"/>
  <c r="S73" i="4"/>
  <c r="S73" i="15" s="1"/>
  <c r="Q73" i="4"/>
  <c r="Q73" i="15" s="1"/>
  <c r="O73" i="4"/>
  <c r="O73" i="15" s="1"/>
  <c r="K73" i="4"/>
  <c r="K73" i="15" s="1"/>
  <c r="I73" i="4"/>
  <c r="I73" i="15" s="1"/>
  <c r="G73" i="4"/>
  <c r="G73" i="15" s="1"/>
  <c r="E73" i="4"/>
  <c r="E73" i="15" s="1"/>
  <c r="C73" i="4"/>
  <c r="C73" i="15" s="1"/>
  <c r="D10" i="4"/>
  <c r="F10" i="4"/>
  <c r="H10" i="4"/>
  <c r="B10" i="4"/>
  <c r="P10" i="4"/>
  <c r="R10" i="4"/>
  <c r="T10" i="4"/>
  <c r="N10" i="4"/>
  <c r="M69" i="9"/>
  <c r="M68" i="9"/>
  <c r="M67" i="9"/>
  <c r="M65" i="9"/>
  <c r="K70" i="9"/>
  <c r="K69" i="9"/>
  <c r="K68" i="9"/>
  <c r="K67" i="9"/>
  <c r="K65" i="9"/>
  <c r="M69" i="8"/>
  <c r="M68" i="8"/>
  <c r="M67" i="8"/>
  <c r="M65" i="8"/>
  <c r="K67" i="8"/>
  <c r="K68" i="8"/>
  <c r="K69" i="8"/>
  <c r="K70" i="8"/>
  <c r="K71" i="8"/>
  <c r="K72" i="8"/>
  <c r="K73" i="8"/>
  <c r="K74" i="8"/>
  <c r="K75" i="8"/>
  <c r="K65" i="8"/>
  <c r="Q65" i="9"/>
  <c r="O68" i="8"/>
  <c r="Q67" i="8"/>
  <c r="E67" i="8"/>
  <c r="M53" i="9"/>
  <c r="K53" i="9"/>
  <c r="M51" i="9"/>
  <c r="K51" i="9"/>
  <c r="M49" i="9"/>
  <c r="M48" i="9"/>
  <c r="K49" i="9"/>
  <c r="K48" i="9"/>
  <c r="S41" i="9"/>
  <c r="S42" i="9"/>
  <c r="S43" i="9"/>
  <c r="S44" i="9"/>
  <c r="S45" i="9"/>
  <c r="S46" i="9"/>
  <c r="S40" i="9"/>
  <c r="Q41" i="9"/>
  <c r="Q42" i="9"/>
  <c r="Q43" i="9"/>
  <c r="Q44" i="9"/>
  <c r="Q45" i="9"/>
  <c r="Q46" i="9"/>
  <c r="Q40" i="9"/>
  <c r="M46" i="9"/>
  <c r="M45" i="9"/>
  <c r="M41" i="9"/>
  <c r="M42" i="9"/>
  <c r="M40" i="9"/>
  <c r="K46" i="9"/>
  <c r="K45" i="9"/>
  <c r="K41" i="9"/>
  <c r="K42" i="9"/>
  <c r="K40" i="9"/>
  <c r="S35" i="9"/>
  <c r="S36" i="9"/>
  <c r="S37" i="9"/>
  <c r="S38" i="9"/>
  <c r="S34" i="9"/>
  <c r="S32" i="9"/>
  <c r="Q35" i="9"/>
  <c r="Q36" i="9"/>
  <c r="Q37" i="9"/>
  <c r="Q38" i="9"/>
  <c r="Q32" i="9"/>
  <c r="O35" i="9"/>
  <c r="O36" i="9"/>
  <c r="O37" i="9"/>
  <c r="O38" i="9"/>
  <c r="M38" i="9"/>
  <c r="M35" i="9"/>
  <c r="M36" i="9"/>
  <c r="M34" i="9"/>
  <c r="M32" i="9"/>
  <c r="M30" i="9"/>
  <c r="U20" i="9"/>
  <c r="U21" i="9"/>
  <c r="U22" i="9"/>
  <c r="S20" i="9"/>
  <c r="S21" i="9"/>
  <c r="S22" i="9"/>
  <c r="U19" i="9"/>
  <c r="S19" i="9"/>
  <c r="Q20" i="9"/>
  <c r="Q21" i="9"/>
  <c r="Q22" i="9"/>
  <c r="Q19" i="9"/>
  <c r="O19" i="9"/>
  <c r="O20" i="9"/>
  <c r="O21" i="9"/>
  <c r="O22" i="9"/>
  <c r="U25" i="9"/>
  <c r="U26" i="9"/>
  <c r="U27" i="9"/>
  <c r="U28" i="9"/>
  <c r="S25" i="9"/>
  <c r="S26" i="9"/>
  <c r="S27" i="9"/>
  <c r="S28" i="9"/>
  <c r="Q25" i="9"/>
  <c r="Q26" i="9"/>
  <c r="Q27" i="9"/>
  <c r="Q28" i="9"/>
  <c r="O25" i="9"/>
  <c r="O26" i="9"/>
  <c r="O27" i="9"/>
  <c r="O28" i="9"/>
  <c r="M25" i="9"/>
  <c r="M26" i="9"/>
  <c r="M27" i="9"/>
  <c r="M28" i="9"/>
  <c r="M24" i="9"/>
  <c r="M49" i="8"/>
  <c r="M51" i="8"/>
  <c r="M53" i="8"/>
  <c r="M48" i="8"/>
  <c r="K49" i="8"/>
  <c r="K51" i="8"/>
  <c r="K52" i="8"/>
  <c r="K53" i="8"/>
  <c r="K48" i="8"/>
  <c r="U41" i="8"/>
  <c r="U42" i="8"/>
  <c r="U43" i="8"/>
  <c r="U44" i="8"/>
  <c r="U45" i="8"/>
  <c r="U46" i="8"/>
  <c r="U40" i="8"/>
  <c r="S41" i="8"/>
  <c r="S42" i="8"/>
  <c r="S43" i="8"/>
  <c r="S44" i="8"/>
  <c r="S45" i="8"/>
  <c r="S46" i="8"/>
  <c r="S40" i="8"/>
  <c r="Q41" i="8"/>
  <c r="Q42" i="8"/>
  <c r="Q43" i="8"/>
  <c r="Q44" i="8"/>
  <c r="Q45" i="8"/>
  <c r="Q46" i="8"/>
  <c r="Q40" i="8"/>
  <c r="O43" i="8"/>
  <c r="O44" i="8"/>
  <c r="U31" i="8"/>
  <c r="U32" i="8"/>
  <c r="U33" i="8"/>
  <c r="U34" i="8"/>
  <c r="U35" i="8"/>
  <c r="U36" i="8"/>
  <c r="U37" i="8"/>
  <c r="U38" i="8"/>
  <c r="S31" i="8"/>
  <c r="S32" i="8"/>
  <c r="S33" i="8"/>
  <c r="S34" i="8"/>
  <c r="S35" i="8"/>
  <c r="S36" i="8"/>
  <c r="S37" i="8"/>
  <c r="S38" i="8"/>
  <c r="Q32" i="8"/>
  <c r="Q33" i="8"/>
  <c r="Q34" i="8"/>
  <c r="Q35" i="8"/>
  <c r="Q36" i="8"/>
  <c r="Q37" i="8"/>
  <c r="Q38" i="8"/>
  <c r="O31" i="8"/>
  <c r="O32" i="8"/>
  <c r="O33" i="8"/>
  <c r="O34" i="8"/>
  <c r="O35" i="8"/>
  <c r="O36" i="8"/>
  <c r="O37" i="8"/>
  <c r="O38" i="8"/>
  <c r="M46" i="8"/>
  <c r="M45" i="8"/>
  <c r="K46" i="8"/>
  <c r="K45" i="8"/>
  <c r="K41" i="8"/>
  <c r="K42" i="8"/>
  <c r="M41" i="8"/>
  <c r="M42" i="8"/>
  <c r="M40" i="8"/>
  <c r="K40" i="8"/>
  <c r="M31" i="8"/>
  <c r="M32" i="8"/>
  <c r="M34" i="8"/>
  <c r="M35" i="8"/>
  <c r="M36" i="8"/>
  <c r="M38" i="8"/>
  <c r="M30" i="8"/>
  <c r="M25" i="8"/>
  <c r="M26" i="8"/>
  <c r="M27" i="8"/>
  <c r="M28" i="8"/>
  <c r="M24" i="8"/>
  <c r="O28" i="8"/>
  <c r="Q27" i="8"/>
  <c r="O27" i="8"/>
  <c r="S27" i="8"/>
  <c r="S28" i="8"/>
  <c r="U21" i="8"/>
  <c r="U22" i="8"/>
  <c r="S21" i="8"/>
  <c r="S22" i="8"/>
  <c r="Q21" i="8"/>
  <c r="Q22" i="8"/>
  <c r="O21" i="8"/>
  <c r="O22" i="8"/>
  <c r="U19" i="8"/>
  <c r="S19" i="8"/>
  <c r="Q19" i="8"/>
  <c r="O19" i="8"/>
  <c r="G69" i="9"/>
  <c r="C50" i="8"/>
  <c r="C51" i="8"/>
  <c r="C52" i="8"/>
  <c r="C53" i="8"/>
  <c r="C51" i="4"/>
  <c r="C51" i="15" s="1"/>
  <c r="C44" i="9"/>
  <c r="U70" i="9"/>
  <c r="S70" i="9"/>
  <c r="Q70" i="9"/>
  <c r="O70" i="9"/>
  <c r="I70" i="9"/>
  <c r="G70" i="9"/>
  <c r="E70" i="9"/>
  <c r="C70" i="9"/>
  <c r="U69" i="9"/>
  <c r="S69" i="9"/>
  <c r="Q69" i="9"/>
  <c r="O69" i="9"/>
  <c r="I69" i="9"/>
  <c r="E69" i="9"/>
  <c r="C69" i="9"/>
  <c r="U68" i="9"/>
  <c r="S68" i="9"/>
  <c r="Q68" i="9"/>
  <c r="O68" i="9"/>
  <c r="I68" i="9"/>
  <c r="G68" i="9"/>
  <c r="E68" i="9"/>
  <c r="C68" i="9"/>
  <c r="U67" i="9"/>
  <c r="S67" i="9"/>
  <c r="Q67" i="9"/>
  <c r="O67" i="9"/>
  <c r="I67" i="9"/>
  <c r="G67" i="9"/>
  <c r="E67" i="9"/>
  <c r="C67" i="9"/>
  <c r="U66" i="9"/>
  <c r="S66" i="9"/>
  <c r="Q66" i="9"/>
  <c r="O66" i="9"/>
  <c r="I66" i="9"/>
  <c r="G66" i="9"/>
  <c r="E66" i="9"/>
  <c r="C66" i="9"/>
  <c r="U65" i="9"/>
  <c r="S65" i="9"/>
  <c r="O65" i="9"/>
  <c r="I65" i="9"/>
  <c r="G65" i="9"/>
  <c r="E65" i="9"/>
  <c r="C65" i="9"/>
  <c r="U53" i="9"/>
  <c r="S53" i="9"/>
  <c r="Q53" i="9"/>
  <c r="O53" i="9"/>
  <c r="I53" i="9"/>
  <c r="G53" i="9"/>
  <c r="E53" i="9"/>
  <c r="C53" i="9"/>
  <c r="U52" i="9"/>
  <c r="S52" i="9"/>
  <c r="Q52" i="9"/>
  <c r="O52" i="9"/>
  <c r="L52" i="9"/>
  <c r="I52" i="9"/>
  <c r="G52" i="9"/>
  <c r="E52" i="9"/>
  <c r="C52" i="9"/>
  <c r="U51" i="9"/>
  <c r="S51" i="9"/>
  <c r="Q51" i="9"/>
  <c r="O51" i="9"/>
  <c r="I51" i="9"/>
  <c r="G51" i="9"/>
  <c r="E51" i="9"/>
  <c r="C51" i="9"/>
  <c r="U50" i="9"/>
  <c r="S50" i="9"/>
  <c r="Q50" i="9"/>
  <c r="O50" i="9"/>
  <c r="I50" i="9"/>
  <c r="G50" i="9"/>
  <c r="E50" i="9"/>
  <c r="C50" i="9"/>
  <c r="U49" i="9"/>
  <c r="S49" i="9"/>
  <c r="Q49" i="9"/>
  <c r="O49" i="9"/>
  <c r="I49" i="9"/>
  <c r="G49" i="9"/>
  <c r="E49" i="9"/>
  <c r="C49" i="9"/>
  <c r="U48" i="9"/>
  <c r="S48" i="9"/>
  <c r="Q48" i="9"/>
  <c r="O48" i="9"/>
  <c r="I48" i="9"/>
  <c r="G48" i="9"/>
  <c r="E48" i="9"/>
  <c r="C48" i="9"/>
  <c r="U46" i="9"/>
  <c r="O46" i="9"/>
  <c r="I46" i="9"/>
  <c r="G46" i="9"/>
  <c r="E46" i="9"/>
  <c r="C46" i="9"/>
  <c r="U45" i="9"/>
  <c r="O45" i="9"/>
  <c r="I45" i="9"/>
  <c r="G45" i="9"/>
  <c r="E45" i="9"/>
  <c r="C45" i="9"/>
  <c r="U44" i="9"/>
  <c r="O44" i="9"/>
  <c r="I44" i="9"/>
  <c r="G44" i="9"/>
  <c r="E44" i="9"/>
  <c r="U43" i="9"/>
  <c r="O43" i="9"/>
  <c r="I43" i="9"/>
  <c r="G43" i="9"/>
  <c r="E43" i="9"/>
  <c r="C43" i="9"/>
  <c r="U42" i="9"/>
  <c r="O42" i="9"/>
  <c r="I42" i="9"/>
  <c r="G42" i="9"/>
  <c r="E42" i="9"/>
  <c r="C42" i="9"/>
  <c r="U41" i="9"/>
  <c r="O41" i="9"/>
  <c r="I41" i="9"/>
  <c r="G41" i="9"/>
  <c r="E41" i="9"/>
  <c r="C41" i="9"/>
  <c r="U40" i="9"/>
  <c r="O40" i="9"/>
  <c r="I40" i="9"/>
  <c r="G40" i="9"/>
  <c r="E40" i="9"/>
  <c r="C40" i="9"/>
  <c r="U38" i="9"/>
  <c r="G38" i="9"/>
  <c r="E38" i="9"/>
  <c r="C38" i="9"/>
  <c r="U37" i="9"/>
  <c r="G37" i="9"/>
  <c r="E37" i="9"/>
  <c r="C37" i="9"/>
  <c r="U36" i="9"/>
  <c r="G36" i="9"/>
  <c r="E36" i="9"/>
  <c r="C36" i="9"/>
  <c r="U35" i="9"/>
  <c r="G35" i="9"/>
  <c r="E35" i="9"/>
  <c r="C35" i="9"/>
  <c r="U34" i="9"/>
  <c r="Q34" i="9"/>
  <c r="O34" i="9"/>
  <c r="G34" i="9"/>
  <c r="E34" i="9"/>
  <c r="C34" i="9"/>
  <c r="U33" i="9"/>
  <c r="O33" i="9"/>
  <c r="G33" i="9"/>
  <c r="E33" i="9"/>
  <c r="C33" i="9"/>
  <c r="U32" i="9"/>
  <c r="O32" i="9"/>
  <c r="G32" i="9"/>
  <c r="E32" i="9"/>
  <c r="C32" i="9"/>
  <c r="U31" i="9"/>
  <c r="S31" i="9"/>
  <c r="Q31" i="9"/>
  <c r="O31" i="9"/>
  <c r="M31" i="9"/>
  <c r="G31" i="9"/>
  <c r="E31" i="9"/>
  <c r="C31" i="9"/>
  <c r="U30" i="9"/>
  <c r="S30" i="9"/>
  <c r="Q30" i="9"/>
  <c r="O30" i="9"/>
  <c r="G30" i="9"/>
  <c r="E30" i="9"/>
  <c r="C30" i="9"/>
  <c r="I28" i="9"/>
  <c r="G28" i="9"/>
  <c r="E28" i="9"/>
  <c r="C28" i="9"/>
  <c r="I27" i="9"/>
  <c r="G27" i="9"/>
  <c r="E27" i="9"/>
  <c r="C27" i="9"/>
  <c r="I26" i="9"/>
  <c r="G26" i="9"/>
  <c r="E26" i="9"/>
  <c r="C26" i="9"/>
  <c r="I25" i="9"/>
  <c r="G25" i="9"/>
  <c r="E25" i="9"/>
  <c r="C25" i="9"/>
  <c r="U24" i="9"/>
  <c r="S24" i="9"/>
  <c r="Q24" i="9"/>
  <c r="O24" i="9"/>
  <c r="I24" i="9"/>
  <c r="G24" i="9"/>
  <c r="E24" i="9"/>
  <c r="C24" i="9"/>
  <c r="I22" i="9"/>
  <c r="G22" i="9"/>
  <c r="E22" i="9"/>
  <c r="C22" i="9"/>
  <c r="I21" i="9"/>
  <c r="G21" i="9"/>
  <c r="E21" i="9"/>
  <c r="C21" i="9"/>
  <c r="I20" i="9"/>
  <c r="E20" i="9"/>
  <c r="C20" i="9"/>
  <c r="I19" i="9"/>
  <c r="G19" i="9"/>
  <c r="E19" i="9"/>
  <c r="C19" i="9"/>
  <c r="I69" i="8"/>
  <c r="U70" i="8"/>
  <c r="S70" i="8"/>
  <c r="Q70" i="8"/>
  <c r="O70" i="8"/>
  <c r="I70" i="8"/>
  <c r="G70" i="8"/>
  <c r="E70" i="8"/>
  <c r="C70" i="8"/>
  <c r="U69" i="8"/>
  <c r="S69" i="8"/>
  <c r="Q69" i="8"/>
  <c r="O69" i="8"/>
  <c r="G69" i="8"/>
  <c r="E69" i="8"/>
  <c r="C69" i="8"/>
  <c r="U68" i="8"/>
  <c r="S68" i="8"/>
  <c r="Q68" i="8"/>
  <c r="I68" i="8"/>
  <c r="G68" i="8"/>
  <c r="E68" i="8"/>
  <c r="C68" i="8"/>
  <c r="U67" i="8"/>
  <c r="S67" i="8"/>
  <c r="O67" i="8"/>
  <c r="I67" i="8"/>
  <c r="G67" i="8"/>
  <c r="C67" i="8"/>
  <c r="U66" i="8"/>
  <c r="S66" i="8"/>
  <c r="Q66" i="8"/>
  <c r="O66" i="8"/>
  <c r="I66" i="8"/>
  <c r="G66" i="8"/>
  <c r="E66" i="8"/>
  <c r="C66" i="8"/>
  <c r="U65" i="8"/>
  <c r="S65" i="8"/>
  <c r="Q65" i="8"/>
  <c r="O65" i="8"/>
  <c r="I65" i="8"/>
  <c r="G65" i="8"/>
  <c r="E65" i="8"/>
  <c r="C65" i="8"/>
  <c r="G50" i="8"/>
  <c r="E50" i="8"/>
  <c r="G42" i="8"/>
  <c r="E42" i="8"/>
  <c r="C42" i="8"/>
  <c r="C41" i="8"/>
  <c r="E30" i="8"/>
  <c r="G22" i="8"/>
  <c r="E20" i="8"/>
  <c r="C20" i="8"/>
  <c r="C21" i="8"/>
  <c r="C22" i="8"/>
  <c r="U75" i="9"/>
  <c r="S75" i="9"/>
  <c r="Q75" i="9"/>
  <c r="O75" i="9"/>
  <c r="U74" i="9"/>
  <c r="S74" i="9"/>
  <c r="Q74" i="9"/>
  <c r="O74" i="9"/>
  <c r="U73" i="9"/>
  <c r="S73" i="9"/>
  <c r="Q73" i="9"/>
  <c r="O73" i="9"/>
  <c r="U72" i="9"/>
  <c r="S72" i="9"/>
  <c r="Q72" i="9"/>
  <c r="O72" i="9"/>
  <c r="G72" i="9"/>
  <c r="E72" i="9"/>
  <c r="C72" i="9"/>
  <c r="U75" i="8"/>
  <c r="S75" i="8"/>
  <c r="Q75" i="8"/>
  <c r="O75" i="8"/>
  <c r="U74" i="8"/>
  <c r="S74" i="8"/>
  <c r="Q74" i="8"/>
  <c r="O74" i="8"/>
  <c r="U73" i="8"/>
  <c r="S73" i="8"/>
  <c r="Q73" i="8"/>
  <c r="O73" i="8"/>
  <c r="U72" i="8"/>
  <c r="S72" i="8"/>
  <c r="Q72" i="8"/>
  <c r="O72" i="8"/>
  <c r="G72" i="8"/>
  <c r="E72" i="8"/>
  <c r="C72" i="8"/>
  <c r="U53" i="8"/>
  <c r="S53" i="8"/>
  <c r="Q53" i="8"/>
  <c r="O53" i="8"/>
  <c r="I53" i="8"/>
  <c r="G53" i="8"/>
  <c r="E53" i="8"/>
  <c r="U52" i="8"/>
  <c r="S52" i="8"/>
  <c r="Q52" i="8"/>
  <c r="O52" i="8"/>
  <c r="I52" i="8"/>
  <c r="G52" i="8"/>
  <c r="E52" i="8"/>
  <c r="U51" i="8"/>
  <c r="S51" i="8"/>
  <c r="Q51" i="8"/>
  <c r="O51" i="8"/>
  <c r="I51" i="8"/>
  <c r="G51" i="8"/>
  <c r="E51" i="8"/>
  <c r="U50" i="8"/>
  <c r="S50" i="8"/>
  <c r="Q50" i="8"/>
  <c r="O50" i="8"/>
  <c r="I50" i="8"/>
  <c r="U49" i="8"/>
  <c r="S49" i="8"/>
  <c r="Q49" i="8"/>
  <c r="O49" i="8"/>
  <c r="I49" i="8"/>
  <c r="G49" i="8"/>
  <c r="E49" i="8"/>
  <c r="C49" i="8"/>
  <c r="U48" i="8"/>
  <c r="S48" i="8"/>
  <c r="Q48" i="8"/>
  <c r="O48" i="8"/>
  <c r="I48" i="8"/>
  <c r="G48" i="8"/>
  <c r="E48" i="8"/>
  <c r="C48" i="8"/>
  <c r="O46" i="8"/>
  <c r="I46" i="8"/>
  <c r="G46" i="8"/>
  <c r="E46" i="8"/>
  <c r="C46" i="8"/>
  <c r="O45" i="8"/>
  <c r="I45" i="8"/>
  <c r="G45" i="8"/>
  <c r="E45" i="8"/>
  <c r="C45" i="8"/>
  <c r="I44" i="8"/>
  <c r="G44" i="8"/>
  <c r="E44" i="8"/>
  <c r="C44" i="8"/>
  <c r="I43" i="8"/>
  <c r="G43" i="8"/>
  <c r="E43" i="8"/>
  <c r="C43" i="8"/>
  <c r="O42" i="8"/>
  <c r="I42" i="8"/>
  <c r="O41" i="8"/>
  <c r="I41" i="8"/>
  <c r="G41" i="8"/>
  <c r="E41" i="8"/>
  <c r="O40" i="8"/>
  <c r="I40" i="8"/>
  <c r="G40" i="8"/>
  <c r="E40" i="8"/>
  <c r="C40" i="8"/>
  <c r="G38" i="8"/>
  <c r="E38" i="8"/>
  <c r="C38" i="8"/>
  <c r="G37" i="8"/>
  <c r="E37" i="8"/>
  <c r="C37" i="8"/>
  <c r="G36" i="8"/>
  <c r="E36" i="8"/>
  <c r="C36" i="8"/>
  <c r="G35" i="8"/>
  <c r="E35" i="8"/>
  <c r="C35" i="8"/>
  <c r="G34" i="8"/>
  <c r="E34" i="8"/>
  <c r="C34" i="8"/>
  <c r="G33" i="8"/>
  <c r="E33" i="8"/>
  <c r="C33" i="8"/>
  <c r="G32" i="8"/>
  <c r="E32" i="8"/>
  <c r="C32" i="8"/>
  <c r="Q31" i="8"/>
  <c r="G31" i="8"/>
  <c r="E31" i="8"/>
  <c r="C31" i="8"/>
  <c r="U30" i="8"/>
  <c r="S30" i="8"/>
  <c r="Q30" i="8"/>
  <c r="O30" i="8"/>
  <c r="G30" i="8"/>
  <c r="C30" i="8"/>
  <c r="U28" i="8"/>
  <c r="Q28" i="8"/>
  <c r="I28" i="8"/>
  <c r="G28" i="8"/>
  <c r="E28" i="8"/>
  <c r="C28" i="8"/>
  <c r="U27" i="8"/>
  <c r="I27" i="8"/>
  <c r="G27" i="8"/>
  <c r="E27" i="8"/>
  <c r="C27" i="8"/>
  <c r="U26" i="8"/>
  <c r="S26" i="8"/>
  <c r="Q26" i="8"/>
  <c r="O26" i="8"/>
  <c r="I26" i="8"/>
  <c r="G26" i="8"/>
  <c r="E26" i="8"/>
  <c r="C26" i="8"/>
  <c r="U25" i="8"/>
  <c r="S25" i="8"/>
  <c r="Q25" i="8"/>
  <c r="O25" i="8"/>
  <c r="I25" i="8"/>
  <c r="G25" i="8"/>
  <c r="E25" i="8"/>
  <c r="C25" i="8"/>
  <c r="U24" i="8"/>
  <c r="S24" i="8"/>
  <c r="Q24" i="8"/>
  <c r="O24" i="8"/>
  <c r="I24" i="8"/>
  <c r="G24" i="8"/>
  <c r="E24" i="8"/>
  <c r="C24" i="8"/>
  <c r="I22" i="8"/>
  <c r="E22" i="8"/>
  <c r="I21" i="8"/>
  <c r="G21" i="8"/>
  <c r="E21" i="8"/>
  <c r="U20" i="8"/>
  <c r="S20" i="8"/>
  <c r="Q20" i="8"/>
  <c r="O20" i="8"/>
  <c r="I20" i="8"/>
  <c r="I19" i="8"/>
  <c r="G19" i="8"/>
  <c r="E19" i="8"/>
  <c r="C19" i="8"/>
  <c r="O18" i="4"/>
  <c r="O18" i="15" s="1"/>
  <c r="Q18" i="4"/>
  <c r="Q18" i="15" s="1"/>
  <c r="S18" i="4"/>
  <c r="S18" i="15" s="1"/>
  <c r="U18" i="4"/>
  <c r="U18" i="15" s="1"/>
  <c r="O21" i="4"/>
  <c r="O21" i="15" s="1"/>
  <c r="Q21" i="4"/>
  <c r="Q21" i="15" s="1"/>
  <c r="S21" i="4"/>
  <c r="S21" i="15" s="1"/>
  <c r="U21" i="4"/>
  <c r="U21" i="15" s="1"/>
  <c r="O23" i="4"/>
  <c r="O23" i="15" s="1"/>
  <c r="Q23" i="4"/>
  <c r="Q23" i="15" s="1"/>
  <c r="S23" i="4"/>
  <c r="S23" i="15" s="1"/>
  <c r="U23" i="4"/>
  <c r="U23" i="15" s="1"/>
  <c r="O25" i="4"/>
  <c r="O25" i="15" s="1"/>
  <c r="Q25" i="4"/>
  <c r="Q25" i="15" s="1"/>
  <c r="S25" i="4"/>
  <c r="S25" i="15" s="1"/>
  <c r="U25" i="4"/>
  <c r="U25" i="15" s="1"/>
  <c r="O26" i="4"/>
  <c r="O26" i="15" s="1"/>
  <c r="Q26" i="4"/>
  <c r="Q26" i="15" s="1"/>
  <c r="S26" i="4"/>
  <c r="S26" i="15" s="1"/>
  <c r="U26" i="4"/>
  <c r="U26" i="15" s="1"/>
  <c r="O27" i="4"/>
  <c r="O27" i="15" s="1"/>
  <c r="Q27" i="4"/>
  <c r="Q27" i="15" s="1"/>
  <c r="S27" i="4"/>
  <c r="S27" i="15" s="1"/>
  <c r="U27" i="4"/>
  <c r="U27" i="15" s="1"/>
  <c r="Q28" i="4"/>
  <c r="Q28" i="15" s="1"/>
  <c r="S28" i="4"/>
  <c r="S28" i="15" s="1"/>
  <c r="U28" i="4"/>
  <c r="U28" i="15" s="1"/>
  <c r="Q29" i="4"/>
  <c r="Q29" i="15" s="1"/>
  <c r="S29" i="4"/>
  <c r="S29" i="15" s="1"/>
  <c r="U29" i="4"/>
  <c r="U29" i="15" s="1"/>
  <c r="O31" i="4"/>
  <c r="O31" i="15" s="1"/>
  <c r="Q31" i="4"/>
  <c r="Q31" i="15" s="1"/>
  <c r="S31" i="4"/>
  <c r="S31" i="15" s="1"/>
  <c r="U31" i="4"/>
  <c r="U31" i="15" s="1"/>
  <c r="M32" i="4"/>
  <c r="M32" i="15" s="1"/>
  <c r="O32" i="4"/>
  <c r="O32" i="15" s="1"/>
  <c r="Q32" i="4"/>
  <c r="Q32" i="15" s="1"/>
  <c r="S32" i="4"/>
  <c r="S32" i="15" s="1"/>
  <c r="U32" i="4"/>
  <c r="U32" i="15" s="1"/>
  <c r="O33" i="4"/>
  <c r="O33" i="15" s="1"/>
  <c r="U33" i="4"/>
  <c r="U33" i="15" s="1"/>
  <c r="O34" i="4"/>
  <c r="O34" i="15" s="1"/>
  <c r="U34" i="4"/>
  <c r="U34" i="15" s="1"/>
  <c r="O35" i="4"/>
  <c r="O35" i="15" s="1"/>
  <c r="Q35" i="4"/>
  <c r="Q35" i="15" s="1"/>
  <c r="S35" i="4"/>
  <c r="S35" i="15" s="1"/>
  <c r="U35" i="4"/>
  <c r="U35" i="15" s="1"/>
  <c r="O36" i="4"/>
  <c r="O36" i="15" s="1"/>
  <c r="Q36" i="4"/>
  <c r="Q36" i="15" s="1"/>
  <c r="S36" i="4"/>
  <c r="S36" i="15" s="1"/>
  <c r="U36" i="4"/>
  <c r="U36" i="15" s="1"/>
  <c r="O37" i="4"/>
  <c r="O37" i="15" s="1"/>
  <c r="Q37" i="4"/>
  <c r="Q37" i="15" s="1"/>
  <c r="S37" i="4"/>
  <c r="S37" i="15" s="1"/>
  <c r="U37" i="4"/>
  <c r="U37" i="15" s="1"/>
  <c r="O38" i="4"/>
  <c r="O38" i="15" s="1"/>
  <c r="S38" i="4"/>
  <c r="S38" i="15" s="1"/>
  <c r="U38" i="4"/>
  <c r="U38" i="15" s="1"/>
  <c r="O39" i="4"/>
  <c r="O39" i="15" s="1"/>
  <c r="U39" i="4"/>
  <c r="U39" i="15" s="1"/>
  <c r="O41" i="4"/>
  <c r="O41" i="15" s="1"/>
  <c r="U41" i="4"/>
  <c r="U41" i="15" s="1"/>
  <c r="O42" i="4"/>
  <c r="O42" i="15" s="1"/>
  <c r="Q42" i="4"/>
  <c r="Q42" i="15" s="1"/>
  <c r="S42" i="4"/>
  <c r="S42" i="15" s="1"/>
  <c r="U42" i="4"/>
  <c r="U42" i="15" s="1"/>
  <c r="O43" i="4"/>
  <c r="O43" i="15" s="1"/>
  <c r="Q43" i="4"/>
  <c r="Q43" i="15" s="1"/>
  <c r="S43" i="4"/>
  <c r="S43" i="15" s="1"/>
  <c r="U43" i="4"/>
  <c r="U43" i="15" s="1"/>
  <c r="O44" i="4"/>
  <c r="O44" i="15" s="1"/>
  <c r="U44" i="4"/>
  <c r="U44" i="15" s="1"/>
  <c r="O45" i="4"/>
  <c r="O45" i="15" s="1"/>
  <c r="Q45" i="4"/>
  <c r="Q45" i="15" s="1"/>
  <c r="S45" i="4"/>
  <c r="S45" i="15" s="1"/>
  <c r="U45" i="4"/>
  <c r="U45" i="15" s="1"/>
  <c r="O46" i="4"/>
  <c r="O46" i="15" s="1"/>
  <c r="Q46" i="4"/>
  <c r="Q46" i="15" s="1"/>
  <c r="S46" i="4"/>
  <c r="S46" i="15" s="1"/>
  <c r="U46" i="4"/>
  <c r="U46" i="15" s="1"/>
  <c r="O47" i="4"/>
  <c r="O47" i="15" s="1"/>
  <c r="Q47" i="4"/>
  <c r="Q47" i="15" s="1"/>
  <c r="S47" i="4"/>
  <c r="S47" i="15" s="1"/>
  <c r="U47" i="4"/>
  <c r="U47" i="15" s="1"/>
  <c r="O49" i="4"/>
  <c r="O49" i="15" s="1"/>
  <c r="Q49" i="4"/>
  <c r="Q49" i="15" s="1"/>
  <c r="S49" i="4"/>
  <c r="S49" i="15" s="1"/>
  <c r="U49" i="4"/>
  <c r="U49" i="15" s="1"/>
  <c r="O50" i="4"/>
  <c r="O50" i="15" s="1"/>
  <c r="Q50" i="4"/>
  <c r="Q50" i="15" s="1"/>
  <c r="S50" i="4"/>
  <c r="S50" i="15" s="1"/>
  <c r="U50" i="4"/>
  <c r="U50" i="15" s="1"/>
  <c r="O51" i="4"/>
  <c r="O51" i="15" s="1"/>
  <c r="Q51" i="4"/>
  <c r="Q51" i="15" s="1"/>
  <c r="S51" i="4"/>
  <c r="S51" i="15" s="1"/>
  <c r="U51" i="4"/>
  <c r="U51" i="15" s="1"/>
  <c r="J52" i="4"/>
  <c r="J52" i="15" s="1"/>
  <c r="O52" i="4"/>
  <c r="O52" i="15" s="1"/>
  <c r="Q52" i="4"/>
  <c r="Q52" i="15" s="1"/>
  <c r="S52" i="4"/>
  <c r="S52" i="15" s="1"/>
  <c r="U52" i="4"/>
  <c r="U52" i="15" s="1"/>
  <c r="O53" i="4"/>
  <c r="O53" i="15" s="1"/>
  <c r="Q53" i="4"/>
  <c r="Q53" i="15" s="1"/>
  <c r="S53" i="4"/>
  <c r="S53" i="15" s="1"/>
  <c r="U53" i="4"/>
  <c r="U53" i="15" s="1"/>
  <c r="O54" i="4"/>
  <c r="O54" i="15" s="1"/>
  <c r="Q54" i="4"/>
  <c r="Q54" i="15" s="1"/>
  <c r="S54" i="4"/>
  <c r="S54" i="15" s="1"/>
  <c r="U54" i="4"/>
  <c r="U54" i="15" s="1"/>
  <c r="O66" i="4"/>
  <c r="O66" i="15" s="1"/>
  <c r="Q66" i="4"/>
  <c r="Q66" i="15" s="1"/>
  <c r="S66" i="4"/>
  <c r="S66" i="15" s="1"/>
  <c r="U66" i="4"/>
  <c r="U66" i="15" s="1"/>
  <c r="O67" i="4"/>
  <c r="O67" i="15" s="1"/>
  <c r="Q67" i="4"/>
  <c r="Q67" i="15" s="1"/>
  <c r="S67" i="4"/>
  <c r="S67" i="15" s="1"/>
  <c r="U67" i="4"/>
  <c r="U67" i="15" s="1"/>
  <c r="O68" i="4"/>
  <c r="O68" i="15" s="1"/>
  <c r="Q68" i="4"/>
  <c r="Q68" i="15" s="1"/>
  <c r="S68" i="4"/>
  <c r="S68" i="15" s="1"/>
  <c r="U68" i="4"/>
  <c r="U68" i="15" s="1"/>
  <c r="K69" i="4"/>
  <c r="K69" i="16" s="1"/>
  <c r="O69" i="4"/>
  <c r="O69" i="15" s="1"/>
  <c r="Q69" i="4"/>
  <c r="Q69" i="15" s="1"/>
  <c r="S69" i="4"/>
  <c r="S69" i="15" s="1"/>
  <c r="U69" i="4"/>
  <c r="U69" i="15" s="1"/>
  <c r="K70" i="4"/>
  <c r="K70" i="16" s="1"/>
  <c r="M70" i="4"/>
  <c r="M70" i="15" s="1"/>
  <c r="O70" i="4"/>
  <c r="O70" i="15" s="1"/>
  <c r="Q70" i="4"/>
  <c r="Q70" i="15" s="1"/>
  <c r="S70" i="4"/>
  <c r="S70" i="15" s="1"/>
  <c r="U70" i="4"/>
  <c r="U70" i="15" s="1"/>
  <c r="K71" i="4"/>
  <c r="K71" i="15" s="1"/>
  <c r="O71" i="4"/>
  <c r="O71" i="15" s="1"/>
  <c r="Q71" i="4"/>
  <c r="Q71" i="15" s="1"/>
  <c r="S71" i="4"/>
  <c r="S71" i="15" s="1"/>
  <c r="U71" i="4"/>
  <c r="U71" i="15" s="1"/>
  <c r="C14" i="4"/>
  <c r="C14" i="15" s="1"/>
  <c r="C15" i="4"/>
  <c r="C15" i="15" s="1"/>
  <c r="C16" i="4"/>
  <c r="C16" i="15" s="1"/>
  <c r="C18" i="4"/>
  <c r="C18" i="15" s="1"/>
  <c r="C19" i="4"/>
  <c r="C19" i="15" s="1"/>
  <c r="C20" i="4"/>
  <c r="C20" i="15" s="1"/>
  <c r="C22" i="4"/>
  <c r="C22" i="15" s="1"/>
  <c r="C23" i="4"/>
  <c r="C23" i="15" s="1"/>
  <c r="C25" i="4"/>
  <c r="C25" i="15" s="1"/>
  <c r="C26" i="4"/>
  <c r="C26" i="15" s="1"/>
  <c r="C27" i="4"/>
  <c r="C27" i="15" s="1"/>
  <c r="C28" i="4"/>
  <c r="C28" i="15" s="1"/>
  <c r="C29" i="4"/>
  <c r="C29" i="15" s="1"/>
  <c r="C31" i="4"/>
  <c r="C31" i="15" s="1"/>
  <c r="C32" i="4"/>
  <c r="C32" i="15" s="1"/>
  <c r="C33" i="4"/>
  <c r="C33" i="15" s="1"/>
  <c r="C34" i="4"/>
  <c r="C35" i="4"/>
  <c r="C35" i="15" s="1"/>
  <c r="C36" i="4"/>
  <c r="C36" i="15" s="1"/>
  <c r="C37" i="4"/>
  <c r="C37" i="15" s="1"/>
  <c r="C38" i="4"/>
  <c r="C38" i="15" s="1"/>
  <c r="C39" i="4"/>
  <c r="C39" i="15" s="1"/>
  <c r="C41" i="4"/>
  <c r="C41" i="15" s="1"/>
  <c r="C42" i="4"/>
  <c r="C42" i="15" s="1"/>
  <c r="C44" i="4"/>
  <c r="C44" i="15" s="1"/>
  <c r="C45" i="4"/>
  <c r="C45" i="15" s="1"/>
  <c r="C46" i="4"/>
  <c r="C46" i="15" s="1"/>
  <c r="C47" i="4"/>
  <c r="C47" i="15" s="1"/>
  <c r="C49" i="4"/>
  <c r="C49" i="15" s="1"/>
  <c r="C50" i="4"/>
  <c r="C50" i="15" s="1"/>
  <c r="C52" i="4"/>
  <c r="C52" i="15" s="1"/>
  <c r="C53" i="4"/>
  <c r="C53" i="15" s="1"/>
  <c r="C54" i="4"/>
  <c r="C54" i="15" s="1"/>
  <c r="C66" i="4"/>
  <c r="C66" i="15" s="1"/>
  <c r="C67" i="4"/>
  <c r="C67" i="15" s="1"/>
  <c r="C68" i="4"/>
  <c r="C68" i="15" s="1"/>
  <c r="C69" i="4"/>
  <c r="C69" i="15" s="1"/>
  <c r="C70" i="4"/>
  <c r="C70" i="15" s="1"/>
  <c r="C71" i="4"/>
  <c r="C71" i="15" s="1"/>
  <c r="I13" i="4"/>
  <c r="I13" i="15" s="1"/>
  <c r="G14" i="4"/>
  <c r="G14" i="15" s="1"/>
  <c r="I14" i="4"/>
  <c r="I14" i="15" s="1"/>
  <c r="G15" i="4"/>
  <c r="G15" i="15" s="1"/>
  <c r="I15" i="4"/>
  <c r="I15" i="15" s="1"/>
  <c r="G16" i="4"/>
  <c r="G16" i="15" s="1"/>
  <c r="I16" i="4"/>
  <c r="I16" i="15" s="1"/>
  <c r="G18" i="4"/>
  <c r="G18" i="15" s="1"/>
  <c r="I18" i="4"/>
  <c r="I18" i="15" s="1"/>
  <c r="G19" i="4"/>
  <c r="G19" i="15" s="1"/>
  <c r="I19" i="4"/>
  <c r="I19" i="15" s="1"/>
  <c r="G20" i="4"/>
  <c r="G20" i="15" s="1"/>
  <c r="I20" i="4"/>
  <c r="I20" i="15" s="1"/>
  <c r="I21" i="4"/>
  <c r="I21" i="15" s="1"/>
  <c r="G22" i="4"/>
  <c r="G22" i="15" s="1"/>
  <c r="I22" i="4"/>
  <c r="I22" i="15" s="1"/>
  <c r="G23" i="4"/>
  <c r="G23" i="15" s="1"/>
  <c r="I23" i="4"/>
  <c r="I23" i="15" s="1"/>
  <c r="G25" i="4"/>
  <c r="G25" i="15" s="1"/>
  <c r="I25" i="4"/>
  <c r="I25" i="15" s="1"/>
  <c r="G26" i="4"/>
  <c r="G26" i="15" s="1"/>
  <c r="I26" i="4"/>
  <c r="I26" i="15" s="1"/>
  <c r="G27" i="4"/>
  <c r="G27" i="15" s="1"/>
  <c r="I27" i="4"/>
  <c r="I27" i="15" s="1"/>
  <c r="G28" i="4"/>
  <c r="G28" i="15" s="1"/>
  <c r="I28" i="4"/>
  <c r="I28" i="15" s="1"/>
  <c r="G29" i="4"/>
  <c r="G29" i="15" s="1"/>
  <c r="I29" i="4"/>
  <c r="I29" i="15" s="1"/>
  <c r="G31" i="4"/>
  <c r="G31" i="15" s="1"/>
  <c r="G32" i="4"/>
  <c r="G32" i="15" s="1"/>
  <c r="G33" i="4"/>
  <c r="G33" i="15" s="1"/>
  <c r="G34" i="4"/>
  <c r="G35" i="4"/>
  <c r="G35" i="15" s="1"/>
  <c r="G36" i="4"/>
  <c r="G36" i="15" s="1"/>
  <c r="G37" i="4"/>
  <c r="G37" i="15" s="1"/>
  <c r="G38" i="4"/>
  <c r="G38" i="15" s="1"/>
  <c r="G39" i="4"/>
  <c r="G39" i="15" s="1"/>
  <c r="G41" i="4"/>
  <c r="G41" i="15" s="1"/>
  <c r="I41" i="4"/>
  <c r="I41" i="15" s="1"/>
  <c r="G42" i="4"/>
  <c r="G42" i="15" s="1"/>
  <c r="I42" i="4"/>
  <c r="I42" i="15" s="1"/>
  <c r="I43" i="4"/>
  <c r="I43" i="15" s="1"/>
  <c r="G44" i="4"/>
  <c r="G44" i="15" s="1"/>
  <c r="I44" i="4"/>
  <c r="I44" i="15" s="1"/>
  <c r="G45" i="4"/>
  <c r="G45" i="15" s="1"/>
  <c r="I45" i="4"/>
  <c r="I45" i="15" s="1"/>
  <c r="G46" i="4"/>
  <c r="G46" i="15" s="1"/>
  <c r="I46" i="4"/>
  <c r="I46" i="15" s="1"/>
  <c r="G47" i="4"/>
  <c r="G47" i="15" s="1"/>
  <c r="I47" i="4"/>
  <c r="I47" i="15" s="1"/>
  <c r="G49" i="4"/>
  <c r="G49" i="15" s="1"/>
  <c r="I49" i="4"/>
  <c r="I49" i="15" s="1"/>
  <c r="G50" i="4"/>
  <c r="G50" i="15" s="1"/>
  <c r="I50" i="4"/>
  <c r="I50" i="15" s="1"/>
  <c r="I51" i="4"/>
  <c r="I51" i="15" s="1"/>
  <c r="G52" i="4"/>
  <c r="G52" i="15" s="1"/>
  <c r="I52" i="4"/>
  <c r="I52" i="15" s="1"/>
  <c r="G53" i="4"/>
  <c r="G53" i="15" s="1"/>
  <c r="I53" i="4"/>
  <c r="I53" i="15" s="1"/>
  <c r="G54" i="4"/>
  <c r="G54" i="15" s="1"/>
  <c r="I54" i="4"/>
  <c r="I54" i="15" s="1"/>
  <c r="G66" i="4"/>
  <c r="G66" i="15" s="1"/>
  <c r="I66" i="4"/>
  <c r="I66" i="15" s="1"/>
  <c r="G67" i="4"/>
  <c r="G67" i="15" s="1"/>
  <c r="I67" i="4"/>
  <c r="I67" i="15" s="1"/>
  <c r="G68" i="4"/>
  <c r="G68" i="15" s="1"/>
  <c r="I68" i="4"/>
  <c r="I68" i="15" s="1"/>
  <c r="G69" i="4"/>
  <c r="G69" i="15" s="1"/>
  <c r="I69" i="4"/>
  <c r="I69" i="15" s="1"/>
  <c r="G70" i="4"/>
  <c r="G70" i="15" s="1"/>
  <c r="I70" i="4"/>
  <c r="I70" i="15" s="1"/>
  <c r="G71" i="4"/>
  <c r="G71" i="15" s="1"/>
  <c r="I71" i="4"/>
  <c r="I71" i="15" s="1"/>
  <c r="I17" i="6"/>
  <c r="I16" i="6"/>
  <c r="I15" i="6"/>
  <c r="I11" i="6"/>
  <c r="I12" i="6"/>
  <c r="I13" i="6"/>
  <c r="I10" i="6"/>
  <c r="X6" i="7"/>
  <c r="V6" i="7"/>
  <c r="T6" i="7"/>
  <c r="R6" i="7"/>
  <c r="P6" i="7"/>
  <c r="N6" i="7"/>
  <c r="L6" i="7"/>
  <c r="J6" i="7"/>
  <c r="H6" i="7"/>
  <c r="F6" i="7"/>
  <c r="D6" i="7"/>
  <c r="B6" i="7"/>
  <c r="P30" i="5"/>
  <c r="R30" i="5"/>
  <c r="N30" i="5"/>
  <c r="D30" i="5"/>
  <c r="F30" i="5"/>
  <c r="B30" i="5"/>
  <c r="P14" i="5"/>
  <c r="R14" i="5"/>
  <c r="N14" i="5"/>
  <c r="D14" i="5"/>
  <c r="F14" i="5"/>
  <c r="B14" i="5"/>
  <c r="P6" i="5"/>
  <c r="R6" i="5"/>
  <c r="T6" i="5"/>
  <c r="V6" i="5"/>
  <c r="X6" i="5"/>
  <c r="N6" i="5"/>
  <c r="D6" i="5"/>
  <c r="F6" i="5"/>
  <c r="H6" i="5"/>
  <c r="J6" i="5"/>
  <c r="L6" i="5"/>
  <c r="B6" i="5"/>
  <c r="E67" i="4"/>
  <c r="E67" i="15" s="1"/>
  <c r="E66" i="4"/>
  <c r="E66" i="15" s="1"/>
  <c r="E32" i="4"/>
  <c r="E32" i="15" s="1"/>
  <c r="E71" i="4"/>
  <c r="E71" i="15" s="1"/>
  <c r="E70" i="4"/>
  <c r="E70" i="15" s="1"/>
  <c r="E69" i="4"/>
  <c r="E69" i="15" s="1"/>
  <c r="E68" i="4"/>
  <c r="E68" i="15" s="1"/>
  <c r="E54" i="4"/>
  <c r="E54" i="15" s="1"/>
  <c r="E53" i="4"/>
  <c r="E53" i="15" s="1"/>
  <c r="E52" i="4"/>
  <c r="E52" i="15" s="1"/>
  <c r="E50" i="4"/>
  <c r="E50" i="15" s="1"/>
  <c r="E49" i="4"/>
  <c r="E49" i="15" s="1"/>
  <c r="E47" i="4"/>
  <c r="E47" i="15" s="1"/>
  <c r="E46" i="4"/>
  <c r="E46" i="15" s="1"/>
  <c r="E45" i="4"/>
  <c r="E45" i="15" s="1"/>
  <c r="E44" i="4"/>
  <c r="E44" i="15" s="1"/>
  <c r="E42" i="4"/>
  <c r="E42" i="15" s="1"/>
  <c r="E41" i="4"/>
  <c r="E41" i="15" s="1"/>
  <c r="E39" i="4"/>
  <c r="E39" i="15" s="1"/>
  <c r="E38" i="4"/>
  <c r="E38" i="15" s="1"/>
  <c r="E37" i="4"/>
  <c r="E37" i="15" s="1"/>
  <c r="E36" i="4"/>
  <c r="E36" i="15" s="1"/>
  <c r="E35" i="4"/>
  <c r="E35" i="15" s="1"/>
  <c r="E34" i="4"/>
  <c r="E33" i="4"/>
  <c r="E33" i="15" s="1"/>
  <c r="E31" i="4"/>
  <c r="E31" i="15" s="1"/>
  <c r="E29" i="4"/>
  <c r="E29" i="15" s="1"/>
  <c r="E28" i="4"/>
  <c r="E28" i="15" s="1"/>
  <c r="E27" i="4"/>
  <c r="E27" i="15" s="1"/>
  <c r="E26" i="4"/>
  <c r="E26" i="15" s="1"/>
  <c r="E25" i="4"/>
  <c r="E25" i="15" s="1"/>
  <c r="E23" i="4"/>
  <c r="E23" i="15" s="1"/>
  <c r="E22" i="4"/>
  <c r="E22" i="15" s="1"/>
  <c r="E20" i="4"/>
  <c r="E20" i="15" s="1"/>
  <c r="E19" i="4"/>
  <c r="E19" i="15" s="1"/>
  <c r="E18" i="4"/>
  <c r="E18" i="15" s="1"/>
  <c r="E16" i="4"/>
  <c r="E16" i="15" s="1"/>
  <c r="E15" i="4"/>
  <c r="E15" i="15" s="1"/>
  <c r="E14" i="4"/>
  <c r="E14" i="15" s="1"/>
  <c r="M52" i="8"/>
  <c r="G34" i="16" l="1"/>
  <c r="G34" i="15"/>
  <c r="C34" i="16"/>
  <c r="C34" i="15"/>
  <c r="Q74" i="15"/>
  <c r="Q74" i="16"/>
  <c r="K74" i="15"/>
  <c r="K74" i="16"/>
  <c r="C66" i="16"/>
  <c r="E66" i="16"/>
  <c r="G66" i="16"/>
  <c r="I66" i="16"/>
  <c r="C73" i="16"/>
  <c r="E73" i="16"/>
  <c r="G73" i="16"/>
  <c r="I73" i="16"/>
  <c r="C74" i="16"/>
  <c r="E74" i="16"/>
  <c r="G74" i="16"/>
  <c r="I74" i="16"/>
  <c r="C75" i="16"/>
  <c r="E75" i="16"/>
  <c r="G75" i="16"/>
  <c r="I75" i="16"/>
  <c r="C76" i="16"/>
  <c r="E76" i="16"/>
  <c r="G76" i="16"/>
  <c r="I76" i="16"/>
  <c r="C77" i="16"/>
  <c r="E77" i="16"/>
  <c r="G77" i="16"/>
  <c r="I77" i="16"/>
  <c r="C78" i="16"/>
  <c r="E78" i="16"/>
  <c r="G78" i="16"/>
  <c r="I78" i="16"/>
  <c r="O66" i="16"/>
  <c r="Q66" i="16"/>
  <c r="S66" i="16"/>
  <c r="U66" i="16"/>
  <c r="K73" i="16"/>
  <c r="O73" i="16"/>
  <c r="Q73" i="16"/>
  <c r="S73" i="16"/>
  <c r="U73" i="16"/>
  <c r="E34" i="16"/>
  <c r="E34" i="15"/>
  <c r="O74" i="15"/>
  <c r="O74" i="16"/>
  <c r="I71" i="16"/>
  <c r="G71" i="16"/>
  <c r="E71" i="16"/>
  <c r="C71" i="16"/>
  <c r="I70" i="16"/>
  <c r="G70" i="16"/>
  <c r="E70" i="16"/>
  <c r="C70" i="16"/>
  <c r="I69" i="16"/>
  <c r="G69" i="16"/>
  <c r="E69" i="16"/>
  <c r="C69" i="16"/>
  <c r="I68" i="16"/>
  <c r="G68" i="16"/>
  <c r="E68" i="16"/>
  <c r="C68" i="16"/>
  <c r="I67" i="16"/>
  <c r="G67" i="16"/>
  <c r="E67" i="16"/>
  <c r="C67" i="16"/>
  <c r="I79" i="16"/>
  <c r="G79" i="16"/>
  <c r="E79" i="16"/>
  <c r="C79" i="16"/>
  <c r="U71" i="16"/>
  <c r="S71" i="16"/>
  <c r="Q71" i="16"/>
  <c r="O71" i="16"/>
  <c r="U70" i="16"/>
  <c r="S70" i="16"/>
  <c r="Q70" i="16"/>
  <c r="O70" i="16"/>
  <c r="M70" i="16"/>
  <c r="U69" i="16"/>
  <c r="S69" i="16"/>
  <c r="Q69" i="16"/>
  <c r="O69" i="16"/>
  <c r="U68" i="16"/>
  <c r="S68" i="16"/>
  <c r="Q68" i="16"/>
  <c r="O68" i="16"/>
  <c r="U67" i="16"/>
  <c r="S67" i="16"/>
  <c r="Q67" i="16"/>
  <c r="O67" i="16"/>
  <c r="K71" i="16"/>
  <c r="U79" i="16"/>
  <c r="S79" i="16"/>
  <c r="Q79" i="16"/>
  <c r="O79" i="16"/>
  <c r="U78" i="16"/>
  <c r="S78" i="16"/>
  <c r="Q78" i="16"/>
  <c r="O78" i="16"/>
  <c r="U77" i="16"/>
  <c r="S77" i="16"/>
  <c r="Q77" i="16"/>
  <c r="O77" i="16"/>
  <c r="K77" i="16"/>
  <c r="U76" i="16"/>
  <c r="S76" i="16"/>
  <c r="Q76" i="16"/>
  <c r="O76" i="16"/>
  <c r="U75" i="16"/>
  <c r="S75" i="16"/>
  <c r="Q75" i="16"/>
  <c r="O75" i="16"/>
  <c r="K75" i="16"/>
  <c r="U74" i="16"/>
  <c r="S74" i="16"/>
</calcChain>
</file>

<file path=xl/sharedStrings.xml><?xml version="1.0" encoding="utf-8"?>
<sst xmlns="http://schemas.openxmlformats.org/spreadsheetml/2006/main" count="2455" uniqueCount="190">
  <si>
    <t>KVA</t>
  </si>
  <si>
    <t>KW</t>
  </si>
  <si>
    <t>DG164A</t>
    <phoneticPr fontId="3" type="noConversion"/>
  </si>
  <si>
    <t>DG164B</t>
    <phoneticPr fontId="3" type="noConversion"/>
  </si>
  <si>
    <t>DG164C</t>
    <phoneticPr fontId="3" type="noConversion"/>
  </si>
  <si>
    <t>DG164D</t>
    <phoneticPr fontId="3" type="noConversion"/>
  </si>
  <si>
    <t>DG184ES</t>
    <phoneticPr fontId="3" type="noConversion"/>
  </si>
  <si>
    <t>DG184E</t>
    <phoneticPr fontId="3" type="noConversion"/>
  </si>
  <si>
    <t>DG184F</t>
    <phoneticPr fontId="3" type="noConversion"/>
  </si>
  <si>
    <t>DG184G</t>
    <phoneticPr fontId="3" type="noConversion"/>
  </si>
  <si>
    <t>DG184H</t>
    <phoneticPr fontId="3" type="noConversion"/>
  </si>
  <si>
    <t>DG184J</t>
    <phoneticPr fontId="3" type="noConversion"/>
  </si>
  <si>
    <t>DG634G</t>
    <phoneticPr fontId="3" type="noConversion"/>
  </si>
  <si>
    <t>DG224C</t>
    <phoneticPr fontId="3" type="noConversion"/>
  </si>
  <si>
    <t>DG224D</t>
    <phoneticPr fontId="3" type="noConversion"/>
  </si>
  <si>
    <t>DG224E</t>
    <phoneticPr fontId="3" type="noConversion"/>
  </si>
  <si>
    <t>DG224F</t>
    <phoneticPr fontId="3" type="noConversion"/>
  </si>
  <si>
    <t>DG224G</t>
    <phoneticPr fontId="3" type="noConversion"/>
  </si>
  <si>
    <t>DG274C</t>
    <phoneticPr fontId="3" type="noConversion"/>
  </si>
  <si>
    <t>DG274E</t>
    <phoneticPr fontId="3" type="noConversion"/>
  </si>
  <si>
    <t>DG274EL</t>
    <phoneticPr fontId="3" type="noConversion"/>
  </si>
  <si>
    <t>DG274F</t>
    <phoneticPr fontId="3" type="noConversion"/>
  </si>
  <si>
    <t>DG274G</t>
    <phoneticPr fontId="3" type="noConversion"/>
  </si>
  <si>
    <t>DG274H</t>
    <phoneticPr fontId="3" type="noConversion"/>
  </si>
  <si>
    <t>DG274J</t>
    <phoneticPr fontId="3" type="noConversion"/>
  </si>
  <si>
    <t>DG274K</t>
    <phoneticPr fontId="3" type="noConversion"/>
  </si>
  <si>
    <t>DGK444D</t>
    <phoneticPr fontId="3" type="noConversion"/>
  </si>
  <si>
    <t>DGK444E</t>
    <phoneticPr fontId="3" type="noConversion"/>
  </si>
  <si>
    <t>DGK444F</t>
    <phoneticPr fontId="3" type="noConversion"/>
  </si>
  <si>
    <t>DG444C</t>
    <phoneticPr fontId="3" type="noConversion"/>
  </si>
  <si>
    <t>DG444D</t>
    <phoneticPr fontId="3" type="noConversion"/>
  </si>
  <si>
    <t>DG444E</t>
    <phoneticPr fontId="3" type="noConversion"/>
  </si>
  <si>
    <t>DG444F</t>
    <phoneticPr fontId="3" type="noConversion"/>
  </si>
  <si>
    <t>DG544C</t>
    <phoneticPr fontId="3" type="noConversion"/>
  </si>
  <si>
    <t>DG544D</t>
    <phoneticPr fontId="3" type="noConversion"/>
  </si>
  <si>
    <t>DG544ES</t>
    <phoneticPr fontId="3" type="noConversion"/>
  </si>
  <si>
    <t>DG544E</t>
    <phoneticPr fontId="3" type="noConversion"/>
  </si>
  <si>
    <t>DG544F</t>
    <phoneticPr fontId="3" type="noConversion"/>
  </si>
  <si>
    <t>DG274D</t>
    <phoneticPr fontId="3" type="noConversion"/>
  </si>
  <si>
    <t>DG634B</t>
    <phoneticPr fontId="3" type="noConversion"/>
  </si>
  <si>
    <t>DG634D</t>
    <phoneticPr fontId="3" type="noConversion"/>
  </si>
  <si>
    <t>DG634E</t>
    <phoneticPr fontId="3" type="noConversion"/>
  </si>
  <si>
    <t>DG634F</t>
    <phoneticPr fontId="3" type="noConversion"/>
  </si>
  <si>
    <t>DH634G</t>
    <phoneticPr fontId="3" type="noConversion"/>
  </si>
  <si>
    <t>DH634H</t>
    <phoneticPr fontId="3" type="noConversion"/>
  </si>
  <si>
    <t>DH634J</t>
    <phoneticPr fontId="3" type="noConversion"/>
  </si>
  <si>
    <t>DH634K</t>
    <phoneticPr fontId="3" type="noConversion"/>
  </si>
  <si>
    <t>DG544EL</t>
    <phoneticPr fontId="3" type="noConversion"/>
  </si>
  <si>
    <t>380-416</t>
    <phoneticPr fontId="3" type="noConversion"/>
  </si>
  <si>
    <t>190-208</t>
    <phoneticPr fontId="3" type="noConversion"/>
  </si>
  <si>
    <t>220-240</t>
    <phoneticPr fontId="3" type="noConversion"/>
  </si>
  <si>
    <t>KVA</t>
    <phoneticPr fontId="3" type="noConversion"/>
  </si>
  <si>
    <t>KW</t>
    <phoneticPr fontId="3" type="noConversion"/>
  </si>
  <si>
    <t>-</t>
    <phoneticPr fontId="3" type="noConversion"/>
  </si>
  <si>
    <r>
      <t>DG634C</t>
    </r>
    <r>
      <rPr>
        <b/>
        <vertAlign val="superscript"/>
        <sz val="10"/>
        <rFont val="宋体"/>
        <charset val="134"/>
      </rPr>
      <t>1</t>
    </r>
    <phoneticPr fontId="3" type="noConversion"/>
  </si>
  <si>
    <r>
      <t>1</t>
    </r>
    <r>
      <rPr>
        <b/>
        <sz val="11"/>
        <rFont val="宋体"/>
        <charset val="134"/>
      </rPr>
      <t>1/12</t>
    </r>
    <phoneticPr fontId="3" type="noConversion"/>
  </si>
  <si>
    <t>Notes：</t>
    <phoneticPr fontId="3" type="noConversion"/>
  </si>
  <si>
    <t>-</t>
    <phoneticPr fontId="3" type="noConversion"/>
  </si>
  <si>
    <r>
      <t>P</t>
    </r>
    <r>
      <rPr>
        <b/>
        <sz val="10"/>
        <color indexed="8"/>
        <rFont val="宋体"/>
        <charset val="134"/>
      </rPr>
      <t>ower Factor</t>
    </r>
    <phoneticPr fontId="15" type="noConversion"/>
  </si>
  <si>
    <r>
      <t>V</t>
    </r>
    <r>
      <rPr>
        <b/>
        <sz val="10"/>
        <color indexed="8"/>
        <rFont val="宋体"/>
        <charset val="134"/>
      </rPr>
      <t>olts</t>
    </r>
    <phoneticPr fontId="15" type="noConversion"/>
  </si>
  <si>
    <t xml:space="preserve"> Series Star</t>
    <phoneticPr fontId="15" type="noConversion"/>
  </si>
  <si>
    <t xml:space="preserve"> Parallel Star</t>
    <phoneticPr fontId="15" type="noConversion"/>
  </si>
  <si>
    <t xml:space="preserve"> Series Delta</t>
    <phoneticPr fontId="15" type="noConversion"/>
  </si>
  <si>
    <r>
      <t>W</t>
    </r>
    <r>
      <rPr>
        <b/>
        <sz val="10"/>
        <rFont val="宋体"/>
        <charset val="134"/>
      </rPr>
      <t>inding No.</t>
    </r>
    <phoneticPr fontId="15" type="noConversion"/>
  </si>
  <si>
    <r>
      <t>R</t>
    </r>
    <r>
      <rPr>
        <b/>
        <sz val="11"/>
        <rFont val="宋体"/>
        <charset val="134"/>
      </rPr>
      <t>ating</t>
    </r>
    <phoneticPr fontId="15" type="noConversion"/>
  </si>
  <si>
    <t xml:space="preserve"> Series Delta</t>
    <phoneticPr fontId="15" type="noConversion"/>
  </si>
  <si>
    <t>Three Phase 50Hz 1500RPM</t>
    <phoneticPr fontId="3" type="noConversion"/>
  </si>
  <si>
    <r>
      <t xml:space="preserve">Three Phase </t>
    </r>
    <r>
      <rPr>
        <b/>
        <sz val="11"/>
        <rFont val="宋体"/>
        <charset val="134"/>
      </rPr>
      <t>6</t>
    </r>
    <r>
      <rPr>
        <b/>
        <sz val="11"/>
        <rFont val="宋体"/>
        <charset val="134"/>
      </rPr>
      <t>0Hz 1</t>
    </r>
    <r>
      <rPr>
        <b/>
        <sz val="11"/>
        <rFont val="宋体"/>
        <charset val="134"/>
      </rPr>
      <t>8</t>
    </r>
    <r>
      <rPr>
        <b/>
        <sz val="11"/>
        <rFont val="宋体"/>
        <charset val="134"/>
      </rPr>
      <t>00RPM</t>
    </r>
    <phoneticPr fontId="3" type="noConversion"/>
  </si>
  <si>
    <t>Model</t>
    <phoneticPr fontId="3" type="noConversion"/>
  </si>
  <si>
    <t>Model</t>
    <phoneticPr fontId="3" type="noConversion"/>
  </si>
  <si>
    <t>380-416</t>
    <phoneticPr fontId="3" type="noConversion"/>
  </si>
  <si>
    <t>190-208</t>
    <phoneticPr fontId="3" type="noConversion"/>
  </si>
  <si>
    <t>220-240</t>
    <phoneticPr fontId="3" type="noConversion"/>
  </si>
  <si>
    <t>KVA</t>
    <phoneticPr fontId="3" type="noConversion"/>
  </si>
  <si>
    <t>KW</t>
    <phoneticPr fontId="3" type="noConversion"/>
  </si>
  <si>
    <t>1. DG634C has no W11 option</t>
    <phoneticPr fontId="3" type="noConversion"/>
  </si>
  <si>
    <r>
      <t>0</t>
    </r>
    <r>
      <rPr>
        <b/>
        <sz val="11"/>
        <rFont val="宋体"/>
        <charset val="134"/>
      </rPr>
      <t>5</t>
    </r>
    <phoneticPr fontId="3" type="noConversion"/>
  </si>
  <si>
    <r>
      <t>05</t>
    </r>
    <r>
      <rPr>
        <b/>
        <sz val="11"/>
        <rFont val="宋体"/>
        <charset val="134"/>
      </rPr>
      <t/>
    </r>
  </si>
  <si>
    <r>
      <t>0</t>
    </r>
    <r>
      <rPr>
        <b/>
        <sz val="11"/>
        <rFont val="宋体"/>
        <charset val="134"/>
      </rPr>
      <t>6</t>
    </r>
    <phoneticPr fontId="3" type="noConversion"/>
  </si>
  <si>
    <t xml:space="preserve"> Series</t>
    <phoneticPr fontId="15" type="noConversion"/>
  </si>
  <si>
    <t xml:space="preserve"> Parallel</t>
    <phoneticPr fontId="3" type="noConversion"/>
  </si>
  <si>
    <r>
      <t>S</t>
    </r>
    <r>
      <rPr>
        <b/>
        <sz val="11"/>
        <rFont val="宋体"/>
        <charset val="134"/>
      </rPr>
      <t>ingle</t>
    </r>
    <r>
      <rPr>
        <b/>
        <sz val="11"/>
        <rFont val="宋体"/>
        <charset val="134"/>
      </rPr>
      <t xml:space="preserve"> Phase 50Hz 1500RPM</t>
    </r>
    <phoneticPr fontId="3" type="noConversion"/>
  </si>
  <si>
    <r>
      <rPr>
        <b/>
        <sz val="11"/>
        <rFont val="宋体"/>
        <charset val="134"/>
      </rPr>
      <t>Single</t>
    </r>
    <r>
      <rPr>
        <b/>
        <sz val="11"/>
        <rFont val="宋体"/>
        <charset val="134"/>
      </rPr>
      <t xml:space="preserve"> Phase 6</t>
    </r>
    <r>
      <rPr>
        <b/>
        <sz val="11"/>
        <rFont val="宋体"/>
        <charset val="134"/>
      </rPr>
      <t>0Hz 1</t>
    </r>
    <r>
      <rPr>
        <b/>
        <sz val="11"/>
        <rFont val="宋体"/>
        <charset val="134"/>
      </rPr>
      <t>8</t>
    </r>
    <r>
      <rPr>
        <b/>
        <sz val="11"/>
        <rFont val="宋体"/>
        <charset val="134"/>
      </rPr>
      <t>00RPM</t>
    </r>
    <phoneticPr fontId="3" type="noConversion"/>
  </si>
  <si>
    <r>
      <t>N</t>
    </r>
    <r>
      <rPr>
        <b/>
        <sz val="11"/>
        <rFont val="宋体"/>
        <charset val="134"/>
      </rPr>
      <t>/A</t>
    </r>
    <phoneticPr fontId="3" type="noConversion"/>
  </si>
  <si>
    <t>N/A</t>
  </si>
  <si>
    <t>N/A</t>
    <phoneticPr fontId="3" type="noConversion"/>
  </si>
  <si>
    <t>Dingol Generator Rating Table (4-pole 3-phase rating)</t>
    <phoneticPr fontId="3" type="noConversion"/>
  </si>
  <si>
    <t>Dingol Generator Rating Table (4-pole 1-phase rating)</t>
    <phoneticPr fontId="3" type="noConversion"/>
  </si>
  <si>
    <t>Dingol Generator Rating Table (2-pole 3-phase rating)</t>
    <phoneticPr fontId="3" type="noConversion"/>
  </si>
  <si>
    <t>Dingol Generator Rating Table (2-pole 1-phase rating)</t>
    <phoneticPr fontId="3" type="noConversion"/>
  </si>
  <si>
    <t>DG162D</t>
    <phoneticPr fontId="3" type="noConversion"/>
  </si>
  <si>
    <t>DG162E</t>
    <phoneticPr fontId="3" type="noConversion"/>
  </si>
  <si>
    <t>DG162F</t>
    <phoneticPr fontId="3" type="noConversion"/>
  </si>
  <si>
    <t>DG162G</t>
    <phoneticPr fontId="3" type="noConversion"/>
  </si>
  <si>
    <t>DG182H</t>
    <phoneticPr fontId="3" type="noConversion"/>
  </si>
  <si>
    <t>DG182J</t>
    <phoneticPr fontId="3" type="noConversion"/>
  </si>
  <si>
    <t>DG182K</t>
    <phoneticPr fontId="3" type="noConversion"/>
  </si>
  <si>
    <t>DG162D</t>
    <phoneticPr fontId="3" type="noConversion"/>
  </si>
  <si>
    <r>
      <t>DG16</t>
    </r>
    <r>
      <rPr>
        <b/>
        <sz val="11"/>
        <color indexed="8"/>
        <rFont val="宋体"/>
        <charset val="134"/>
      </rPr>
      <t>2E</t>
    </r>
    <phoneticPr fontId="3" type="noConversion"/>
  </si>
  <si>
    <r>
      <t>DG16</t>
    </r>
    <r>
      <rPr>
        <b/>
        <sz val="11"/>
        <color indexed="8"/>
        <rFont val="宋体"/>
        <charset val="134"/>
      </rPr>
      <t>2F</t>
    </r>
    <phoneticPr fontId="3" type="noConversion"/>
  </si>
  <si>
    <r>
      <t>DG16</t>
    </r>
    <r>
      <rPr>
        <b/>
        <sz val="11"/>
        <color indexed="8"/>
        <rFont val="宋体"/>
        <charset val="134"/>
      </rPr>
      <t>2G</t>
    </r>
    <phoneticPr fontId="3" type="noConversion"/>
  </si>
  <si>
    <r>
      <t>DG18</t>
    </r>
    <r>
      <rPr>
        <b/>
        <sz val="11"/>
        <color indexed="8"/>
        <rFont val="宋体"/>
        <charset val="134"/>
      </rPr>
      <t>2H</t>
    </r>
    <phoneticPr fontId="3" type="noConversion"/>
  </si>
  <si>
    <r>
      <t>DG18</t>
    </r>
    <r>
      <rPr>
        <b/>
        <sz val="11"/>
        <color indexed="8"/>
        <rFont val="宋体"/>
        <charset val="134"/>
      </rPr>
      <t>2J</t>
    </r>
    <phoneticPr fontId="3" type="noConversion"/>
  </si>
  <si>
    <r>
      <t>DG18</t>
    </r>
    <r>
      <rPr>
        <b/>
        <sz val="11"/>
        <color indexed="8"/>
        <rFont val="宋体"/>
        <charset val="134"/>
      </rPr>
      <t>2K</t>
    </r>
    <phoneticPr fontId="3" type="noConversion"/>
  </si>
  <si>
    <t xml:space="preserve"> Star(W12&amp;W13)</t>
    <phoneticPr fontId="3" type="noConversion"/>
  </si>
  <si>
    <t xml:space="preserve"> Delta(W12&amp;W13)</t>
    <phoneticPr fontId="3" type="noConversion"/>
  </si>
  <si>
    <t xml:space="preserve"> Series Star(W11&amp;W14)</t>
    <phoneticPr fontId="15" type="noConversion"/>
  </si>
  <si>
    <t xml:space="preserve"> Parallel Star(W11&amp;W14)</t>
    <phoneticPr fontId="15" type="noConversion"/>
  </si>
  <si>
    <t>2. DGK-foluted fan</t>
    <phoneticPr fontId="3" type="noConversion"/>
  </si>
  <si>
    <t>Three Phase 50Hz 3000PM</t>
    <phoneticPr fontId="3" type="noConversion"/>
  </si>
  <si>
    <t>Three Phase 60Hz 3600RPM</t>
    <phoneticPr fontId="20" type="noConversion"/>
  </si>
  <si>
    <r>
      <t>Single</t>
    </r>
    <r>
      <rPr>
        <b/>
        <sz val="11"/>
        <rFont val="宋体"/>
        <charset val="134"/>
      </rPr>
      <t xml:space="preserve"> Phase 50Hz </t>
    </r>
    <r>
      <rPr>
        <b/>
        <sz val="11"/>
        <rFont val="宋体"/>
        <charset val="134"/>
      </rPr>
      <t>3000</t>
    </r>
    <r>
      <rPr>
        <b/>
        <sz val="11"/>
        <rFont val="宋体"/>
        <charset val="134"/>
      </rPr>
      <t>RPM</t>
    </r>
    <phoneticPr fontId="3" type="noConversion"/>
  </si>
  <si>
    <r>
      <t>Single</t>
    </r>
    <r>
      <rPr>
        <b/>
        <sz val="11"/>
        <rFont val="宋体"/>
        <charset val="134"/>
      </rPr>
      <t xml:space="preserve"> Phase 6</t>
    </r>
    <r>
      <rPr>
        <b/>
        <sz val="11"/>
        <rFont val="宋体"/>
        <charset val="134"/>
      </rPr>
      <t>0Hz 3600RPM</t>
    </r>
    <phoneticPr fontId="3" type="noConversion"/>
  </si>
  <si>
    <t>1. The above rating is based on 40 degree C ambient and 125K temperature rising below 1000 meters altitude above sea.</t>
    <phoneticPr fontId="3" type="noConversion"/>
  </si>
  <si>
    <t>3. The above rating is based on 40 degree C ambient and 125K temperature rising below 1000 meters altitude above sea.</t>
    <phoneticPr fontId="3" type="noConversion"/>
  </si>
  <si>
    <r>
      <t xml:space="preserve"> </t>
    </r>
    <r>
      <rPr>
        <b/>
        <sz val="10"/>
        <rFont val="宋体"/>
        <charset val="134"/>
      </rPr>
      <t>Parallel delta</t>
    </r>
    <phoneticPr fontId="3" type="noConversion"/>
  </si>
  <si>
    <t>110-120</t>
    <phoneticPr fontId="3" type="noConversion"/>
  </si>
  <si>
    <r>
      <t>DG7</t>
    </r>
    <r>
      <rPr>
        <b/>
        <sz val="10"/>
        <rFont val="宋体"/>
        <charset val="134"/>
      </rPr>
      <t>34</t>
    </r>
    <r>
      <rPr>
        <b/>
        <sz val="10"/>
        <rFont val="宋体"/>
        <charset val="134"/>
      </rPr>
      <t>B</t>
    </r>
    <phoneticPr fontId="3" type="noConversion"/>
  </si>
  <si>
    <r>
      <t>DG7</t>
    </r>
    <r>
      <rPr>
        <b/>
        <sz val="10"/>
        <rFont val="宋体"/>
        <charset val="134"/>
      </rPr>
      <t>34</t>
    </r>
    <r>
      <rPr>
        <b/>
        <sz val="10"/>
        <rFont val="宋体"/>
        <charset val="134"/>
      </rPr>
      <t>C</t>
    </r>
    <phoneticPr fontId="3" type="noConversion"/>
  </si>
  <si>
    <r>
      <t>DG7</t>
    </r>
    <r>
      <rPr>
        <b/>
        <sz val="10"/>
        <rFont val="宋体"/>
        <charset val="134"/>
      </rPr>
      <t>34</t>
    </r>
    <r>
      <rPr>
        <b/>
        <sz val="10"/>
        <rFont val="宋体"/>
        <charset val="134"/>
      </rPr>
      <t>D</t>
    </r>
    <phoneticPr fontId="3" type="noConversion"/>
  </si>
  <si>
    <r>
      <t>DG7</t>
    </r>
    <r>
      <rPr>
        <b/>
        <sz val="10"/>
        <rFont val="宋体"/>
        <charset val="134"/>
      </rPr>
      <t>34</t>
    </r>
    <r>
      <rPr>
        <b/>
        <sz val="10"/>
        <rFont val="宋体"/>
        <charset val="134"/>
      </rPr>
      <t>E</t>
    </r>
    <phoneticPr fontId="3" type="noConversion"/>
  </si>
  <si>
    <r>
      <t>DG7</t>
    </r>
    <r>
      <rPr>
        <b/>
        <sz val="10"/>
        <rFont val="宋体"/>
        <charset val="134"/>
      </rPr>
      <t>34</t>
    </r>
    <r>
      <rPr>
        <b/>
        <sz val="10"/>
        <rFont val="宋体"/>
        <charset val="134"/>
      </rPr>
      <t>F</t>
    </r>
    <phoneticPr fontId="3" type="noConversion"/>
  </si>
  <si>
    <r>
      <t>DG7</t>
    </r>
    <r>
      <rPr>
        <b/>
        <sz val="10"/>
        <rFont val="宋体"/>
        <charset val="134"/>
      </rPr>
      <t>34</t>
    </r>
    <r>
      <rPr>
        <b/>
        <sz val="10"/>
        <rFont val="宋体"/>
        <charset val="134"/>
      </rPr>
      <t>G</t>
    </r>
    <phoneticPr fontId="3" type="noConversion"/>
  </si>
  <si>
    <t>DG734H</t>
    <phoneticPr fontId="3" type="noConversion"/>
  </si>
  <si>
    <t>4. DG734B～H has only W12 option</t>
    <phoneticPr fontId="3" type="noConversion"/>
  </si>
  <si>
    <t>Dingol Marine Generator Rating Table (4-pole,H class insulation,F class temperature rising)</t>
    <phoneticPr fontId="3" type="noConversion"/>
  </si>
  <si>
    <t>50 Degree C</t>
    <phoneticPr fontId="3" type="noConversion"/>
  </si>
  <si>
    <t>DGM634B</t>
    <phoneticPr fontId="3" type="noConversion"/>
  </si>
  <si>
    <r>
      <t>DG</t>
    </r>
    <r>
      <rPr>
        <b/>
        <sz val="10"/>
        <rFont val="宋体"/>
        <charset val="134"/>
      </rPr>
      <t>M</t>
    </r>
    <r>
      <rPr>
        <b/>
        <sz val="10"/>
        <rFont val="宋体"/>
        <charset val="134"/>
      </rPr>
      <t>634C</t>
    </r>
    <r>
      <rPr>
        <b/>
        <vertAlign val="superscript"/>
        <sz val="10"/>
        <rFont val="宋体"/>
        <charset val="134"/>
      </rPr>
      <t>1</t>
    </r>
    <phoneticPr fontId="3" type="noConversion"/>
  </si>
  <si>
    <t>DGM634D</t>
    <phoneticPr fontId="3" type="noConversion"/>
  </si>
  <si>
    <t>DGM634E</t>
    <phoneticPr fontId="3" type="noConversion"/>
  </si>
  <si>
    <t>DGM634F</t>
    <phoneticPr fontId="3" type="noConversion"/>
  </si>
  <si>
    <t>DGM634G</t>
    <phoneticPr fontId="3" type="noConversion"/>
  </si>
  <si>
    <t>DGM734B</t>
    <phoneticPr fontId="3" type="noConversion"/>
  </si>
  <si>
    <t>DGM734C</t>
    <phoneticPr fontId="3" type="noConversion"/>
  </si>
  <si>
    <t>DGM734D</t>
    <phoneticPr fontId="3" type="noConversion"/>
  </si>
  <si>
    <t>DGM734E</t>
    <phoneticPr fontId="3" type="noConversion"/>
  </si>
  <si>
    <t>DGM734F</t>
    <phoneticPr fontId="3" type="noConversion"/>
  </si>
  <si>
    <t>DGM734G</t>
    <phoneticPr fontId="3" type="noConversion"/>
  </si>
  <si>
    <t>DGM734H</t>
    <phoneticPr fontId="3" type="noConversion"/>
  </si>
  <si>
    <t>1. Environment Protection：IP23</t>
    <phoneticPr fontId="3" type="noConversion"/>
  </si>
  <si>
    <t>2. With PMG+MX341 AVR</t>
    <phoneticPr fontId="3" type="noConversion"/>
  </si>
  <si>
    <t>3. With Anti-condensation heater</t>
    <phoneticPr fontId="3" type="noConversion"/>
  </si>
  <si>
    <t>4. Marine Spec Impregnation</t>
    <phoneticPr fontId="3" type="noConversion"/>
  </si>
  <si>
    <t>5. The above rating is based on 50 degree C ambient and 90K temperature rising below 1000 meters altitude above sea.</t>
    <phoneticPr fontId="3" type="noConversion"/>
  </si>
  <si>
    <t>DGM184E</t>
    <phoneticPr fontId="3" type="noConversion"/>
  </si>
  <si>
    <t>DGM184F</t>
    <phoneticPr fontId="3" type="noConversion"/>
  </si>
  <si>
    <t>DGM184G</t>
    <phoneticPr fontId="3" type="noConversion"/>
  </si>
  <si>
    <t>DGM184H</t>
    <phoneticPr fontId="3" type="noConversion"/>
  </si>
  <si>
    <t>DGM184J</t>
    <phoneticPr fontId="3" type="noConversion"/>
  </si>
  <si>
    <t>DGM224C</t>
    <phoneticPr fontId="3" type="noConversion"/>
  </si>
  <si>
    <t>DGM224D</t>
    <phoneticPr fontId="3" type="noConversion"/>
  </si>
  <si>
    <t>DGM224E</t>
    <phoneticPr fontId="3" type="noConversion"/>
  </si>
  <si>
    <t>DGM224F</t>
    <phoneticPr fontId="3" type="noConversion"/>
  </si>
  <si>
    <t>DGM224G</t>
    <phoneticPr fontId="3" type="noConversion"/>
  </si>
  <si>
    <t>DGM274C</t>
    <phoneticPr fontId="3" type="noConversion"/>
  </si>
  <si>
    <t>DGM274D</t>
    <phoneticPr fontId="3" type="noConversion"/>
  </si>
  <si>
    <t>DGM274E</t>
    <phoneticPr fontId="3" type="noConversion"/>
  </si>
  <si>
    <t>DGM274F</t>
    <phoneticPr fontId="3" type="noConversion"/>
  </si>
  <si>
    <t>DGM274G</t>
    <phoneticPr fontId="3" type="noConversion"/>
  </si>
  <si>
    <t>DGM274H</t>
    <phoneticPr fontId="3" type="noConversion"/>
  </si>
  <si>
    <t>DGM444C</t>
    <phoneticPr fontId="3" type="noConversion"/>
  </si>
  <si>
    <t>DGM444D</t>
    <phoneticPr fontId="3" type="noConversion"/>
  </si>
  <si>
    <t>DGM444E</t>
    <phoneticPr fontId="3" type="noConversion"/>
  </si>
  <si>
    <t>DGM444F</t>
    <phoneticPr fontId="3" type="noConversion"/>
  </si>
  <si>
    <t>DGM544C</t>
    <phoneticPr fontId="3" type="noConversion"/>
  </si>
  <si>
    <t>DGM544D</t>
    <phoneticPr fontId="3" type="noConversion"/>
  </si>
  <si>
    <t>DGM544E</t>
    <phoneticPr fontId="3" type="noConversion"/>
  </si>
  <si>
    <t>DGM544F</t>
    <phoneticPr fontId="3" type="noConversion"/>
  </si>
  <si>
    <t>8. For DGM18, the winding is W71 (auxiliary winding + AS440,instead of PMG+MX341)</t>
    <phoneticPr fontId="3" type="noConversion"/>
  </si>
  <si>
    <t>7. DGM734B～H has only W12 option</t>
    <phoneticPr fontId="3" type="noConversion"/>
  </si>
  <si>
    <t>6. DGM634C has no W11 option</t>
    <phoneticPr fontId="3" type="noConversion"/>
  </si>
  <si>
    <r>
      <t xml:space="preserve">Three Phase </t>
    </r>
    <r>
      <rPr>
        <b/>
        <sz val="11"/>
        <rFont val="宋体"/>
        <charset val="134"/>
      </rPr>
      <t>6</t>
    </r>
    <r>
      <rPr>
        <b/>
        <sz val="11"/>
        <rFont val="宋体"/>
        <charset val="134"/>
      </rPr>
      <t>0Hz 1</t>
    </r>
    <r>
      <rPr>
        <b/>
        <sz val="11"/>
        <rFont val="宋体"/>
        <charset val="134"/>
      </rPr>
      <t>800</t>
    </r>
    <r>
      <rPr>
        <b/>
        <sz val="11"/>
        <rFont val="宋体"/>
        <charset val="134"/>
      </rPr>
      <t>RPM</t>
    </r>
    <phoneticPr fontId="3" type="noConversion"/>
  </si>
  <si>
    <t>90K temperature Rising</t>
    <phoneticPr fontId="3" type="noConversion"/>
  </si>
  <si>
    <t>-</t>
    <phoneticPr fontId="3" type="noConversion"/>
  </si>
  <si>
    <t>70K temperature Rising</t>
    <phoneticPr fontId="3" type="noConversion"/>
  </si>
  <si>
    <t>110K temperature Rising</t>
    <phoneticPr fontId="3" type="noConversion"/>
  </si>
  <si>
    <t>Dingol Marine Generator Rating Table (4-pole,H class insulation,H class temperature rising)</t>
    <phoneticPr fontId="3" type="noConversion"/>
  </si>
  <si>
    <t>Dingol Marine Generator Rating Table (4-pole,H class insulation,B class temperature rising)</t>
    <phoneticPr fontId="3" type="noConversion"/>
  </si>
  <si>
    <t>5. The above rating is based on 50 degree C ambient and 110K temperature rising below 1000 meters altitude above sea.</t>
    <phoneticPr fontId="3" type="noConversion"/>
  </si>
  <si>
    <t>5. The above rating is based on 50 degree C ambient and 70K temperature rising below 1000 meters altitude above sea.</t>
    <phoneticPr fontId="3" type="noConversion"/>
  </si>
  <si>
    <t>Environment Temperature:</t>
    <phoneticPr fontId="3" type="noConversion"/>
  </si>
  <si>
    <t>-</t>
  </si>
  <si>
    <t xml:space="preserve">  </t>
    <phoneticPr fontId="3" type="noConversion"/>
  </si>
  <si>
    <t>-</t>
    <phoneticPr fontId="22" type="noConversion"/>
  </si>
  <si>
    <t>-</t>
    <phoneticPr fontId="22" type="noConversion"/>
  </si>
  <si>
    <t>3. The above rating is based on 40 degree C ambient and 150K temperature rising below 1000 meters altitude above sea.</t>
    <phoneticPr fontId="3" type="noConversion"/>
  </si>
  <si>
    <t>3. The above rating is based on 27 degree C ambient and 163K temperature rising below 1000 meters altitude above sea.</t>
    <phoneticPr fontId="3" type="noConversion"/>
  </si>
  <si>
    <t>3. The above rating is based on one hour rating with no temperature rising list and below 1000 meters altitude above sea.</t>
    <phoneticPr fontId="3" type="noConversion"/>
  </si>
  <si>
    <t>-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</si>
</sst>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84" formatCode="0_ "/>
    <numFmt numFmtId="191" formatCode="0.0_ "/>
    <numFmt numFmtId="196" formatCode="0;_؀"/>
    <numFmt numFmtId="199" formatCode="0;_؄"/>
    <numFmt numFmtId="200" formatCode="0.0;_؄"/>
    <numFmt numFmtId="201" formatCode="0;_ "/>
    <numFmt numFmtId="202" formatCode="0;_퐀"/>
    <numFmt numFmtId="203" formatCode="0;_Ȁ"/>
    <numFmt numFmtId="204" formatCode="0.0;_Ȁ"/>
    <numFmt numFmtId="206" formatCode="0.0;_̀"/>
    <numFmt numFmtId="207" formatCode="0.0;_퐀"/>
    <numFmt numFmtId="209" formatCode="0;__x0000_"/>
    <numFmt numFmtId="210" formatCode="0;_쀀"/>
    <numFmt numFmtId="211" formatCode="0;_"/>
    <numFmt numFmtId="212" formatCode="0;_"/>
  </numFmts>
  <fonts count="23" x14ac:knownFonts="1">
    <font>
      <sz val="12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11"/>
      <color indexed="8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vertAlign val="superscript"/>
      <sz val="10"/>
      <name val="宋体"/>
      <charset val="134"/>
    </font>
    <font>
      <b/>
      <sz val="11"/>
      <color indexed="8"/>
      <name val="宋体"/>
      <charset val="134"/>
    </font>
    <font>
      <b/>
      <sz val="10"/>
      <color indexed="8"/>
      <name val="宋体"/>
      <charset val="134"/>
    </font>
    <font>
      <sz val="9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167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0" xfId="1" applyFont="1" applyFill="1" applyBorder="1" applyAlignment="1">
      <alignment horizontal="left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 vertical="center"/>
    </xf>
    <xf numFmtId="0" fontId="10" fillId="4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11" fillId="6" borderId="1" xfId="1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left" vertical="center"/>
    </xf>
    <xf numFmtId="0" fontId="19" fillId="4" borderId="1" xfId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91" fontId="13" fillId="3" borderId="1" xfId="0" applyNumberFormat="1" applyFont="1" applyFill="1" applyBorder="1" applyAlignment="1">
      <alignment horizontal="center" vertical="center"/>
    </xf>
    <xf numFmtId="191" fontId="13" fillId="5" borderId="1" xfId="0" applyNumberFormat="1" applyFont="1" applyFill="1" applyBorder="1" applyAlignment="1">
      <alignment horizontal="center" vertical="center"/>
    </xf>
    <xf numFmtId="191" fontId="10" fillId="3" borderId="1" xfId="0" applyNumberFormat="1" applyFont="1" applyFill="1" applyBorder="1" applyAlignment="1">
      <alignment horizontal="center" vertical="center"/>
    </xf>
    <xf numFmtId="191" fontId="10" fillId="5" borderId="1" xfId="0" applyNumberFormat="1" applyFont="1" applyFill="1" applyBorder="1" applyAlignment="1">
      <alignment horizontal="center" vertical="center"/>
    </xf>
    <xf numFmtId="191" fontId="13" fillId="8" borderId="1" xfId="0" applyNumberFormat="1" applyFont="1" applyFill="1" applyBorder="1" applyAlignment="1">
      <alignment horizontal="center" vertical="center"/>
    </xf>
    <xf numFmtId="0" fontId="1" fillId="9" borderId="3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191" fontId="13" fillId="7" borderId="1" xfId="0" applyNumberFormat="1" applyFont="1" applyFill="1" applyBorder="1" applyAlignment="1">
      <alignment horizontal="center" vertical="center"/>
    </xf>
    <xf numFmtId="191" fontId="10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  <xf numFmtId="0" fontId="9" fillId="3" borderId="4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96" fontId="13" fillId="3" borderId="1" xfId="0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4" fillId="11" borderId="1" xfId="1" applyFont="1" applyFill="1" applyBorder="1" applyAlignment="1">
      <alignment horizontal="left" vertical="center"/>
    </xf>
    <xf numFmtId="0" fontId="21" fillId="11" borderId="1" xfId="0" applyFont="1" applyFill="1" applyBorder="1" applyAlignment="1">
      <alignment horizontal="center" vertical="center"/>
    </xf>
    <xf numFmtId="196" fontId="21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84" fontId="10" fillId="7" borderId="1" xfId="0" applyNumberFormat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left" vertical="center"/>
    </xf>
    <xf numFmtId="0" fontId="16" fillId="0" borderId="6" xfId="2" applyFont="1" applyBorder="1" applyAlignment="1">
      <alignment horizontal="center" vertical="center"/>
    </xf>
    <xf numFmtId="0" fontId="1" fillId="0" borderId="6" xfId="2" applyFont="1" applyBorder="1" applyAlignment="1">
      <alignment horizontal="left" vertical="center"/>
    </xf>
    <xf numFmtId="0" fontId="16" fillId="0" borderId="6" xfId="2" applyFont="1" applyBorder="1" applyAlignment="1">
      <alignment horizontal="left" vertical="center"/>
    </xf>
    <xf numFmtId="200" fontId="13" fillId="3" borderId="1" xfId="0" applyNumberFormat="1" applyFont="1" applyFill="1" applyBorder="1" applyAlignment="1">
      <alignment horizontal="center" vertical="center"/>
    </xf>
    <xf numFmtId="200" fontId="13" fillId="5" borderId="1" xfId="0" applyNumberFormat="1" applyFont="1" applyFill="1" applyBorder="1" applyAlignment="1">
      <alignment horizontal="center" vertical="center"/>
    </xf>
    <xf numFmtId="199" fontId="10" fillId="5" borderId="1" xfId="0" applyNumberFormat="1" applyFont="1" applyFill="1" applyBorder="1" applyAlignment="1">
      <alignment horizontal="center" vertical="center"/>
    </xf>
    <xf numFmtId="200" fontId="5" fillId="5" borderId="1" xfId="0" applyNumberFormat="1" applyFont="1" applyFill="1" applyBorder="1" applyAlignment="1">
      <alignment horizontal="center" vertical="center"/>
    </xf>
    <xf numFmtId="200" fontId="5" fillId="3" borderId="1" xfId="0" applyNumberFormat="1" applyFont="1" applyFill="1" applyBorder="1" applyAlignment="1">
      <alignment horizontal="center" vertical="center"/>
    </xf>
    <xf numFmtId="191" fontId="1" fillId="5" borderId="1" xfId="0" applyNumberFormat="1" applyFont="1" applyFill="1" applyBorder="1" applyAlignment="1">
      <alignment horizontal="center" vertical="center"/>
    </xf>
    <xf numFmtId="199" fontId="1" fillId="5" borderId="1" xfId="0" applyNumberFormat="1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201" fontId="10" fillId="3" borderId="1" xfId="0" applyNumberFormat="1" applyFont="1" applyFill="1" applyBorder="1" applyAlignment="1">
      <alignment horizontal="center" vertical="center"/>
    </xf>
    <xf numFmtId="201" fontId="10" fillId="5" borderId="1" xfId="0" applyNumberFormat="1" applyFont="1" applyFill="1" applyBorder="1" applyAlignment="1">
      <alignment horizontal="center" vertical="center"/>
    </xf>
    <xf numFmtId="184" fontId="13" fillId="3" borderId="1" xfId="0" applyNumberFormat="1" applyFont="1" applyFill="1" applyBorder="1" applyAlignment="1">
      <alignment horizontal="center" vertical="center"/>
    </xf>
    <xf numFmtId="184" fontId="10" fillId="3" borderId="1" xfId="0" applyNumberFormat="1" applyFont="1" applyFill="1" applyBorder="1" applyAlignment="1">
      <alignment horizontal="center" vertical="center"/>
    </xf>
    <xf numFmtId="184" fontId="10" fillId="3" borderId="1" xfId="1" applyNumberFormat="1" applyFont="1" applyFill="1" applyBorder="1" applyAlignment="1">
      <alignment horizontal="center" vertical="center"/>
    </xf>
    <xf numFmtId="204" fontId="10" fillId="5" borderId="1" xfId="0" applyNumberFormat="1" applyFont="1" applyFill="1" applyBorder="1" applyAlignment="1">
      <alignment horizontal="center" vertical="center"/>
    </xf>
    <xf numFmtId="204" fontId="13" fillId="5" borderId="1" xfId="0" applyNumberFormat="1" applyFont="1" applyFill="1" applyBorder="1" applyAlignment="1">
      <alignment horizontal="center" vertical="center"/>
    </xf>
    <xf numFmtId="184" fontId="10" fillId="5" borderId="1" xfId="0" applyNumberFormat="1" applyFont="1" applyFill="1" applyBorder="1" applyAlignment="1">
      <alignment horizontal="center" vertical="center"/>
    </xf>
    <xf numFmtId="184" fontId="13" fillId="5" borderId="1" xfId="0" applyNumberFormat="1" applyFont="1" applyFill="1" applyBorder="1" applyAlignment="1">
      <alignment horizontal="center" vertical="center"/>
    </xf>
    <xf numFmtId="206" fontId="13" fillId="5" borderId="1" xfId="0" applyNumberFormat="1" applyFont="1" applyFill="1" applyBorder="1" applyAlignment="1">
      <alignment horizontal="center" vertical="center"/>
    </xf>
    <xf numFmtId="207" fontId="13" fillId="5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191" fontId="13" fillId="12" borderId="1" xfId="0" applyNumberFormat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184" fontId="13" fillId="12" borderId="1" xfId="0" applyNumberFormat="1" applyFont="1" applyFill="1" applyBorder="1" applyAlignment="1">
      <alignment horizontal="center" vertical="center"/>
    </xf>
    <xf numFmtId="184" fontId="13" fillId="13" borderId="1" xfId="0" applyNumberFormat="1" applyFont="1" applyFill="1" applyBorder="1" applyAlignment="1">
      <alignment horizontal="center" vertical="center"/>
    </xf>
    <xf numFmtId="209" fontId="10" fillId="7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84" fontId="1" fillId="7" borderId="1" xfId="0" applyNumberFormat="1" applyFont="1" applyFill="1" applyBorder="1" applyAlignment="1">
      <alignment horizontal="center" vertical="center"/>
    </xf>
    <xf numFmtId="210" fontId="13" fillId="3" borderId="1" xfId="0" applyNumberFormat="1" applyFont="1" applyFill="1" applyBorder="1" applyAlignment="1">
      <alignment horizontal="center" vertical="center"/>
    </xf>
    <xf numFmtId="0" fontId="1" fillId="12" borderId="1" xfId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203" fontId="1" fillId="3" borderId="1" xfId="1" applyNumberFormat="1" applyFont="1" applyFill="1" applyBorder="1" applyAlignment="1">
      <alignment horizontal="center" vertical="center"/>
    </xf>
    <xf numFmtId="203" fontId="10" fillId="3" borderId="1" xfId="0" applyNumberFormat="1" applyFont="1" applyFill="1" applyBorder="1" applyAlignment="1">
      <alignment horizontal="center" vertical="center"/>
    </xf>
    <xf numFmtId="203" fontId="8" fillId="0" borderId="1" xfId="1" applyNumberFormat="1" applyFont="1" applyFill="1" applyBorder="1" applyAlignment="1">
      <alignment horizontal="center" vertical="center"/>
    </xf>
    <xf numFmtId="203" fontId="7" fillId="0" borderId="1" xfId="0" applyNumberFormat="1" applyFont="1" applyFill="1" applyBorder="1" applyAlignment="1">
      <alignment horizontal="center" vertical="center"/>
    </xf>
    <xf numFmtId="202" fontId="1" fillId="13" borderId="1" xfId="1" applyNumberFormat="1" applyFont="1" applyFill="1" applyBorder="1" applyAlignment="1">
      <alignment horizontal="center" vertical="center"/>
    </xf>
    <xf numFmtId="202" fontId="10" fillId="13" borderId="1" xfId="0" applyNumberFormat="1" applyFont="1" applyFill="1" applyBorder="1" applyAlignment="1">
      <alignment horizontal="center" vertical="center"/>
    </xf>
    <xf numFmtId="202" fontId="7" fillId="0" borderId="1" xfId="0" applyNumberFormat="1" applyFont="1" applyBorder="1" applyAlignment="1">
      <alignment horizontal="center" vertical="center"/>
    </xf>
    <xf numFmtId="191" fontId="5" fillId="12" borderId="1" xfId="0" applyNumberFormat="1" applyFont="1" applyFill="1" applyBorder="1" applyAlignment="1">
      <alignment horizontal="center" vertical="center"/>
    </xf>
    <xf numFmtId="184" fontId="5" fillId="13" borderId="1" xfId="0" applyNumberFormat="1" applyFont="1" applyFill="1" applyBorder="1" applyAlignment="1">
      <alignment horizontal="center" vertical="center"/>
    </xf>
    <xf numFmtId="184" fontId="5" fillId="12" borderId="1" xfId="0" applyNumberFormat="1" applyFont="1" applyFill="1" applyBorder="1" applyAlignment="1">
      <alignment horizontal="center" vertical="center"/>
    </xf>
    <xf numFmtId="211" fontId="10" fillId="3" borderId="1" xfId="0" applyNumberFormat="1" applyFont="1" applyFill="1" applyBorder="1" applyAlignment="1">
      <alignment horizontal="center" vertical="center"/>
    </xf>
    <xf numFmtId="211" fontId="13" fillId="3" borderId="1" xfId="0" applyNumberFormat="1" applyFont="1" applyFill="1" applyBorder="1" applyAlignment="1">
      <alignment horizontal="center" vertical="center"/>
    </xf>
    <xf numFmtId="211" fontId="13" fillId="5" borderId="1" xfId="0" applyNumberFormat="1" applyFont="1" applyFill="1" applyBorder="1" applyAlignment="1">
      <alignment horizontal="center" vertical="center"/>
    </xf>
    <xf numFmtId="212" fontId="10" fillId="7" borderId="1" xfId="0" applyNumberFormat="1" applyFont="1" applyFill="1" applyBorder="1" applyAlignment="1">
      <alignment horizontal="center" vertical="center"/>
    </xf>
    <xf numFmtId="212" fontId="10" fillId="5" borderId="1" xfId="0" applyNumberFormat="1" applyFont="1" applyFill="1" applyBorder="1" applyAlignment="1">
      <alignment horizontal="center" vertical="center"/>
    </xf>
    <xf numFmtId="191" fontId="5" fillId="3" borderId="1" xfId="0" applyNumberFormat="1" applyFont="1" applyFill="1" applyBorder="1" applyAlignment="1">
      <alignment horizontal="center" vertical="center"/>
    </xf>
    <xf numFmtId="191" fontId="5" fillId="13" borderId="1" xfId="0" applyNumberFormat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6" fillId="0" borderId="2" xfId="2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49" fontId="17" fillId="10" borderId="2" xfId="1" applyNumberFormat="1" applyFont="1" applyFill="1" applyBorder="1" applyAlignment="1">
      <alignment horizontal="center" vertical="center"/>
    </xf>
    <xf numFmtId="49" fontId="9" fillId="10" borderId="4" xfId="1" applyNumberFormat="1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0" borderId="2" xfId="1" applyFont="1" applyFill="1" applyBorder="1" applyAlignment="1">
      <alignment horizontal="center" vertical="center"/>
    </xf>
    <xf numFmtId="0" fontId="1" fillId="10" borderId="4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17" fillId="3" borderId="2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49" fontId="17" fillId="2" borderId="2" xfId="1" applyNumberFormat="1" applyFont="1" applyFill="1" applyBorder="1" applyAlignment="1">
      <alignment horizontal="center" vertical="center"/>
    </xf>
    <xf numFmtId="49" fontId="1" fillId="2" borderId="4" xfId="1" applyNumberFormat="1" applyFont="1" applyFill="1" applyBorder="1" applyAlignment="1">
      <alignment horizontal="center" vertical="center"/>
    </xf>
    <xf numFmtId="191" fontId="1" fillId="9" borderId="2" xfId="1" applyNumberFormat="1" applyFont="1" applyFill="1" applyBorder="1" applyAlignment="1">
      <alignment horizontal="center" vertical="center"/>
    </xf>
    <xf numFmtId="191" fontId="1" fillId="9" borderId="4" xfId="1" applyNumberFormat="1" applyFont="1" applyFill="1" applyBorder="1" applyAlignment="1">
      <alignment horizontal="center" vertical="center"/>
    </xf>
    <xf numFmtId="49" fontId="17" fillId="3" borderId="2" xfId="1" applyNumberFormat="1" applyFont="1" applyFill="1" applyBorder="1" applyAlignment="1">
      <alignment horizontal="center" vertical="center"/>
    </xf>
    <xf numFmtId="49" fontId="9" fillId="3" borderId="4" xfId="1" applyNumberFormat="1" applyFont="1" applyFill="1" applyBorder="1" applyAlignment="1">
      <alignment horizontal="center" vertical="center"/>
    </xf>
    <xf numFmtId="49" fontId="17" fillId="9" borderId="2" xfId="1" applyNumberFormat="1" applyFont="1" applyFill="1" applyBorder="1" applyAlignment="1">
      <alignment horizontal="center" vertical="center"/>
    </xf>
    <xf numFmtId="49" fontId="1" fillId="9" borderId="4" xfId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</cellXfs>
  <cellStyles count="3">
    <cellStyle name="常规" xfId="0" builtinId="0"/>
    <cellStyle name="常规_Sheet1" xfId="1"/>
    <cellStyle name="常规_Sheet1_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6"/>
  <sheetViews>
    <sheetView tabSelected="1" zoomScale="90" zoomScaleNormal="90" workbookViewId="0">
      <pane xSplit="1" ySplit="12" topLeftCell="B19" activePane="bottomRight" state="frozen"/>
      <selection pane="topRight" activeCell="B1" sqref="B1"/>
      <selection pane="bottomLeft" activeCell="A6" sqref="A6"/>
      <selection pane="bottomRight" activeCell="P26" sqref="P26"/>
    </sheetView>
  </sheetViews>
  <sheetFormatPr defaultColWidth="9" defaultRowHeight="14.25" x14ac:dyDescent="0.15"/>
  <cols>
    <col min="1" max="1" width="22.875" customWidth="1"/>
    <col min="2" max="7" width="5.75" customWidth="1"/>
    <col min="8" max="8" width="7" customWidth="1"/>
    <col min="9" max="9" width="6.625" customWidth="1"/>
    <col min="10" max="10" width="6.375" customWidth="1"/>
    <col min="11" max="11" width="6.125" customWidth="1"/>
    <col min="12" max="12" width="6.25" customWidth="1"/>
    <col min="13" max="13" width="6.875" customWidth="1"/>
    <col min="14" max="14" width="6.625" customWidth="1"/>
    <col min="15" max="15" width="5.5" customWidth="1"/>
    <col min="16" max="16" width="7.375" customWidth="1"/>
    <col min="17" max="17" width="5.5" customWidth="1"/>
    <col min="18" max="18" width="7.5" customWidth="1"/>
    <col min="19" max="19" width="5.5" customWidth="1"/>
    <col min="20" max="20" width="8" customWidth="1"/>
    <col min="21" max="21" width="7.375" customWidth="1"/>
  </cols>
  <sheetData>
    <row r="1" spans="1:21" ht="24.75" customHeight="1" x14ac:dyDescent="0.15">
      <c r="A1" s="132" t="s">
        <v>86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1" ht="14.1" customHeight="1" x14ac:dyDescent="0.15">
      <c r="A2" s="24" t="s">
        <v>68</v>
      </c>
      <c r="B2" s="139" t="s">
        <v>66</v>
      </c>
      <c r="C2" s="140"/>
      <c r="D2" s="140"/>
      <c r="E2" s="140"/>
      <c r="F2" s="140"/>
      <c r="G2" s="140"/>
      <c r="H2" s="140"/>
      <c r="I2" s="141"/>
      <c r="J2" s="135" t="s">
        <v>67</v>
      </c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6"/>
    </row>
    <row r="3" spans="1:21" ht="14.1" customHeight="1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28">
        <v>0.8</v>
      </c>
      <c r="I3" s="129"/>
      <c r="J3" s="130">
        <v>0.8</v>
      </c>
      <c r="K3" s="131"/>
      <c r="L3" s="130">
        <v>0.8</v>
      </c>
      <c r="M3" s="131"/>
      <c r="N3" s="130">
        <v>0.8</v>
      </c>
      <c r="O3" s="131"/>
      <c r="P3" s="130">
        <v>0.8</v>
      </c>
      <c r="Q3" s="131"/>
      <c r="R3" s="130">
        <v>0.8</v>
      </c>
      <c r="S3" s="131"/>
      <c r="T3" s="130">
        <v>0.8</v>
      </c>
      <c r="U3" s="131"/>
    </row>
    <row r="4" spans="1:21" ht="14.1" customHeight="1" x14ac:dyDescent="0.15">
      <c r="A4" s="24" t="s">
        <v>59</v>
      </c>
      <c r="B4" s="17"/>
      <c r="C4" s="18"/>
      <c r="D4" s="17"/>
      <c r="E4" s="18"/>
      <c r="F4" s="17"/>
      <c r="G4" s="18"/>
      <c r="H4" s="53"/>
      <c r="I4" s="53"/>
      <c r="J4" s="20"/>
      <c r="K4" s="21"/>
      <c r="L4" s="20"/>
      <c r="M4" s="21"/>
      <c r="N4" s="20"/>
      <c r="O4" s="21"/>
      <c r="P4" s="20"/>
      <c r="Q4" s="21"/>
      <c r="R4" s="20"/>
      <c r="S4" s="21"/>
      <c r="T4" s="20"/>
      <c r="U4" s="21"/>
    </row>
    <row r="5" spans="1:21" ht="14.1" customHeight="1" x14ac:dyDescent="0.15">
      <c r="A5" s="24" t="s">
        <v>104</v>
      </c>
      <c r="B5" s="128">
        <v>380</v>
      </c>
      <c r="C5" s="129"/>
      <c r="D5" s="137">
        <v>400</v>
      </c>
      <c r="E5" s="137"/>
      <c r="F5" s="128">
        <v>415</v>
      </c>
      <c r="G5" s="129"/>
      <c r="H5" s="128">
        <v>440</v>
      </c>
      <c r="I5" s="129"/>
      <c r="J5" s="130" t="s">
        <v>48</v>
      </c>
      <c r="K5" s="131"/>
      <c r="L5" s="20"/>
      <c r="M5" s="21"/>
      <c r="N5" s="126">
        <v>416</v>
      </c>
      <c r="O5" s="127"/>
      <c r="P5" s="130">
        <v>440</v>
      </c>
      <c r="Q5" s="131"/>
      <c r="R5" s="130">
        <v>460</v>
      </c>
      <c r="S5" s="131"/>
      <c r="T5" s="130">
        <v>480</v>
      </c>
      <c r="U5" s="131"/>
    </row>
    <row r="6" spans="1:21" ht="14.1" customHeight="1" x14ac:dyDescent="0.15">
      <c r="A6" s="24" t="s">
        <v>105</v>
      </c>
      <c r="B6" s="128">
        <v>220</v>
      </c>
      <c r="C6" s="129"/>
      <c r="D6" s="128">
        <v>230</v>
      </c>
      <c r="E6" s="129"/>
      <c r="F6" s="128">
        <v>240</v>
      </c>
      <c r="G6" s="129"/>
      <c r="H6" s="128">
        <v>254</v>
      </c>
      <c r="I6" s="129"/>
      <c r="J6" s="130" t="s">
        <v>50</v>
      </c>
      <c r="K6" s="131"/>
      <c r="L6" s="20"/>
      <c r="M6" s="21"/>
      <c r="N6" s="126">
        <v>240</v>
      </c>
      <c r="O6" s="127"/>
      <c r="P6" s="126">
        <v>254</v>
      </c>
      <c r="Q6" s="127"/>
      <c r="R6" s="126">
        <v>266</v>
      </c>
      <c r="S6" s="127"/>
      <c r="T6" s="126">
        <v>277</v>
      </c>
      <c r="U6" s="127"/>
    </row>
    <row r="7" spans="1:21" ht="14.1" customHeight="1" x14ac:dyDescent="0.15">
      <c r="A7" s="24" t="s">
        <v>106</v>
      </c>
      <c r="B7" s="128">
        <v>380</v>
      </c>
      <c r="C7" s="129"/>
      <c r="D7" s="137">
        <v>400</v>
      </c>
      <c r="E7" s="137"/>
      <c r="F7" s="128">
        <v>415</v>
      </c>
      <c r="G7" s="129"/>
      <c r="H7" s="128">
        <v>440</v>
      </c>
      <c r="I7" s="129"/>
      <c r="J7" s="135" t="s">
        <v>53</v>
      </c>
      <c r="K7" s="136"/>
      <c r="L7" s="130" t="s">
        <v>48</v>
      </c>
      <c r="M7" s="131"/>
      <c r="N7" s="126">
        <v>416</v>
      </c>
      <c r="O7" s="127"/>
      <c r="P7" s="130">
        <v>440</v>
      </c>
      <c r="Q7" s="131"/>
      <c r="R7" s="130">
        <v>460</v>
      </c>
      <c r="S7" s="131"/>
      <c r="T7" s="130">
        <v>480</v>
      </c>
      <c r="U7" s="131"/>
    </row>
    <row r="8" spans="1:21" ht="14.1" customHeight="1" x14ac:dyDescent="0.15">
      <c r="A8" s="24" t="s">
        <v>107</v>
      </c>
      <c r="B8" s="128">
        <v>190</v>
      </c>
      <c r="C8" s="129"/>
      <c r="D8" s="128">
        <v>200</v>
      </c>
      <c r="E8" s="129"/>
      <c r="F8" s="128">
        <v>208</v>
      </c>
      <c r="G8" s="129"/>
      <c r="H8" s="128">
        <v>220</v>
      </c>
      <c r="I8" s="129"/>
      <c r="J8" s="130" t="s">
        <v>53</v>
      </c>
      <c r="K8" s="131"/>
      <c r="L8" s="130" t="s">
        <v>49</v>
      </c>
      <c r="M8" s="131"/>
      <c r="N8" s="126">
        <v>208</v>
      </c>
      <c r="O8" s="127"/>
      <c r="P8" s="126">
        <v>220</v>
      </c>
      <c r="Q8" s="127"/>
      <c r="R8" s="126">
        <v>230</v>
      </c>
      <c r="S8" s="127"/>
      <c r="T8" s="126">
        <v>240</v>
      </c>
      <c r="U8" s="127"/>
    </row>
    <row r="9" spans="1:21" ht="14.1" customHeight="1" x14ac:dyDescent="0.15">
      <c r="A9" s="25" t="s">
        <v>65</v>
      </c>
      <c r="B9" s="128">
        <v>220</v>
      </c>
      <c r="C9" s="129"/>
      <c r="D9" s="128">
        <v>230</v>
      </c>
      <c r="E9" s="129"/>
      <c r="F9" s="128">
        <v>240</v>
      </c>
      <c r="G9" s="129"/>
      <c r="H9" s="128">
        <v>254</v>
      </c>
      <c r="I9" s="129"/>
      <c r="J9" s="135" t="s">
        <v>53</v>
      </c>
      <c r="K9" s="136"/>
      <c r="L9" s="130" t="s">
        <v>50</v>
      </c>
      <c r="M9" s="131"/>
      <c r="N9" s="126">
        <v>240</v>
      </c>
      <c r="O9" s="127"/>
      <c r="P9" s="126">
        <v>254</v>
      </c>
      <c r="Q9" s="127"/>
      <c r="R9" s="126">
        <v>266</v>
      </c>
      <c r="S9" s="127"/>
      <c r="T9" s="126">
        <v>277</v>
      </c>
      <c r="U9" s="127"/>
    </row>
    <row r="10" spans="1:21" ht="14.1" customHeight="1" x14ac:dyDescent="0.15">
      <c r="A10" s="68" t="s">
        <v>115</v>
      </c>
      <c r="B10" s="128">
        <f>B9/2</f>
        <v>110</v>
      </c>
      <c r="C10" s="129"/>
      <c r="D10" s="128">
        <f>D9/2</f>
        <v>115</v>
      </c>
      <c r="E10" s="129"/>
      <c r="F10" s="128">
        <f>F9/2</f>
        <v>120</v>
      </c>
      <c r="G10" s="129"/>
      <c r="H10" s="128">
        <f>H9/2</f>
        <v>127</v>
      </c>
      <c r="I10" s="129"/>
      <c r="J10" s="66"/>
      <c r="K10" s="67"/>
      <c r="L10" s="130" t="s">
        <v>116</v>
      </c>
      <c r="M10" s="131"/>
      <c r="N10" s="126">
        <f>N9/2</f>
        <v>120</v>
      </c>
      <c r="O10" s="127"/>
      <c r="P10" s="126">
        <f>P9/2</f>
        <v>127</v>
      </c>
      <c r="Q10" s="127"/>
      <c r="R10" s="126">
        <f>R9/2</f>
        <v>133</v>
      </c>
      <c r="S10" s="127"/>
      <c r="T10" s="126">
        <f>T9/2</f>
        <v>138.5</v>
      </c>
      <c r="U10" s="127"/>
    </row>
    <row r="11" spans="1:21" ht="14.1" customHeight="1" x14ac:dyDescent="0.15">
      <c r="A11" s="25" t="s">
        <v>63</v>
      </c>
      <c r="B11" s="128">
        <v>11</v>
      </c>
      <c r="C11" s="129"/>
      <c r="D11" s="128">
        <v>11</v>
      </c>
      <c r="E11" s="129"/>
      <c r="F11" s="128">
        <v>11</v>
      </c>
      <c r="G11" s="129"/>
      <c r="H11" s="128">
        <v>11</v>
      </c>
      <c r="I11" s="129"/>
      <c r="J11" s="130">
        <v>13</v>
      </c>
      <c r="K11" s="131"/>
      <c r="L11" s="130">
        <v>14</v>
      </c>
      <c r="M11" s="131"/>
      <c r="N11" s="126">
        <v>11</v>
      </c>
      <c r="O11" s="127"/>
      <c r="P11" s="126">
        <v>11</v>
      </c>
      <c r="Q11" s="127"/>
      <c r="R11" s="126">
        <v>11</v>
      </c>
      <c r="S11" s="127"/>
      <c r="T11" s="126">
        <v>11</v>
      </c>
      <c r="U11" s="127"/>
    </row>
    <row r="12" spans="1:21" ht="14.1" customHeight="1" x14ac:dyDescent="0.15">
      <c r="A12" s="36" t="s">
        <v>64</v>
      </c>
      <c r="B12" s="19" t="s">
        <v>0</v>
      </c>
      <c r="C12" s="19" t="s">
        <v>1</v>
      </c>
      <c r="D12" s="19" t="s">
        <v>0</v>
      </c>
      <c r="E12" s="19" t="s">
        <v>1</v>
      </c>
      <c r="F12" s="19" t="s">
        <v>0</v>
      </c>
      <c r="G12" s="19" t="s">
        <v>1</v>
      </c>
      <c r="H12" s="19" t="s">
        <v>0</v>
      </c>
      <c r="I12" s="19" t="s">
        <v>1</v>
      </c>
      <c r="J12" s="22" t="s">
        <v>51</v>
      </c>
      <c r="K12" s="23" t="s">
        <v>52</v>
      </c>
      <c r="L12" s="22" t="s">
        <v>51</v>
      </c>
      <c r="M12" s="23" t="s">
        <v>52</v>
      </c>
      <c r="N12" s="23" t="s">
        <v>0</v>
      </c>
      <c r="O12" s="23" t="s">
        <v>1</v>
      </c>
      <c r="P12" s="23" t="s">
        <v>0</v>
      </c>
      <c r="Q12" s="23" t="s">
        <v>1</v>
      </c>
      <c r="R12" s="23" t="s">
        <v>0</v>
      </c>
      <c r="S12" s="23" t="s">
        <v>1</v>
      </c>
      <c r="T12" s="23" t="s">
        <v>0</v>
      </c>
      <c r="U12" s="23" t="s">
        <v>1</v>
      </c>
    </row>
    <row r="13" spans="1:21" ht="13.5" customHeight="1" x14ac:dyDescent="0.15">
      <c r="A13" s="31" t="s">
        <v>2</v>
      </c>
      <c r="B13" s="29">
        <v>8.1</v>
      </c>
      <c r="C13" s="29">
        <v>6.5</v>
      </c>
      <c r="D13" s="29">
        <v>8.1</v>
      </c>
      <c r="E13" s="29">
        <v>6.5</v>
      </c>
      <c r="F13" s="29">
        <v>8.1</v>
      </c>
      <c r="G13" s="29">
        <v>6.5</v>
      </c>
      <c r="H13" s="29">
        <v>6.2</v>
      </c>
      <c r="I13" s="40">
        <f>H13*0.8</f>
        <v>4.9600000000000009</v>
      </c>
      <c r="J13" s="34" t="s">
        <v>57</v>
      </c>
      <c r="K13" s="34" t="s">
        <v>57</v>
      </c>
      <c r="L13" s="34">
        <v>9.6</v>
      </c>
      <c r="M13" s="34">
        <v>7.7</v>
      </c>
      <c r="N13" s="27">
        <v>9.6</v>
      </c>
      <c r="O13" s="27">
        <v>7.7</v>
      </c>
      <c r="P13" s="27">
        <v>10.199999999999999</v>
      </c>
      <c r="Q13" s="27">
        <v>8.1999999999999993</v>
      </c>
      <c r="R13" s="27">
        <v>10.199999999999999</v>
      </c>
      <c r="S13" s="27">
        <v>8.1999999999999993</v>
      </c>
      <c r="T13" s="27">
        <v>10.199999999999999</v>
      </c>
      <c r="U13" s="27">
        <v>8.1999999999999993</v>
      </c>
    </row>
    <row r="14" spans="1:21" ht="13.5" customHeight="1" x14ac:dyDescent="0.15">
      <c r="A14" s="31" t="s">
        <v>3</v>
      </c>
      <c r="B14" s="29">
        <v>11</v>
      </c>
      <c r="C14" s="29">
        <f t="shared" ref="C14:C23" si="0">B14*0.8</f>
        <v>8.8000000000000007</v>
      </c>
      <c r="D14" s="29">
        <v>11</v>
      </c>
      <c r="E14" s="29">
        <f>D14*0.8</f>
        <v>8.8000000000000007</v>
      </c>
      <c r="F14" s="29">
        <v>11</v>
      </c>
      <c r="G14" s="29">
        <f>F14*0.8</f>
        <v>8.8000000000000007</v>
      </c>
      <c r="H14" s="29">
        <v>8.4</v>
      </c>
      <c r="I14" s="40">
        <f t="shared" ref="I14:I54" si="1">H14*0.8</f>
        <v>6.7200000000000006</v>
      </c>
      <c r="J14" s="34" t="s">
        <v>57</v>
      </c>
      <c r="K14" s="34" t="s">
        <v>57</v>
      </c>
      <c r="L14" s="34">
        <v>13</v>
      </c>
      <c r="M14" s="34">
        <v>10.4</v>
      </c>
      <c r="N14" s="27">
        <v>13</v>
      </c>
      <c r="O14" s="27">
        <v>10.4</v>
      </c>
      <c r="P14" s="27">
        <v>13.8</v>
      </c>
      <c r="Q14" s="27">
        <v>11</v>
      </c>
      <c r="R14" s="27">
        <v>13.8</v>
      </c>
      <c r="S14" s="27">
        <v>11</v>
      </c>
      <c r="T14" s="27">
        <v>13.8</v>
      </c>
      <c r="U14" s="27">
        <v>11</v>
      </c>
    </row>
    <row r="15" spans="1:21" ht="13.5" customHeight="1" x14ac:dyDescent="0.15">
      <c r="A15" s="31" t="s">
        <v>4</v>
      </c>
      <c r="B15" s="29">
        <v>13.5</v>
      </c>
      <c r="C15" s="29">
        <f t="shared" si="0"/>
        <v>10.8</v>
      </c>
      <c r="D15" s="29">
        <v>13.5</v>
      </c>
      <c r="E15" s="29">
        <f>D15*0.8</f>
        <v>10.8</v>
      </c>
      <c r="F15" s="29">
        <v>13.5</v>
      </c>
      <c r="G15" s="29">
        <f>F15*0.8</f>
        <v>10.8</v>
      </c>
      <c r="H15" s="29">
        <v>11</v>
      </c>
      <c r="I15" s="29">
        <f t="shared" si="1"/>
        <v>8.8000000000000007</v>
      </c>
      <c r="J15" s="34" t="s">
        <v>57</v>
      </c>
      <c r="K15" s="34" t="s">
        <v>57</v>
      </c>
      <c r="L15" s="34">
        <v>16</v>
      </c>
      <c r="M15" s="34">
        <v>12.8</v>
      </c>
      <c r="N15" s="27">
        <v>16</v>
      </c>
      <c r="O15" s="27">
        <v>12.8</v>
      </c>
      <c r="P15" s="27">
        <v>16.899999999999999</v>
      </c>
      <c r="Q15" s="27">
        <v>13.5</v>
      </c>
      <c r="R15" s="27">
        <v>16.899999999999999</v>
      </c>
      <c r="S15" s="27">
        <v>13.5</v>
      </c>
      <c r="T15" s="27">
        <v>16.899999999999999</v>
      </c>
      <c r="U15" s="27">
        <v>13.5</v>
      </c>
    </row>
    <row r="16" spans="1:21" ht="13.5" customHeight="1" x14ac:dyDescent="0.15">
      <c r="A16" s="31" t="s">
        <v>5</v>
      </c>
      <c r="B16" s="29">
        <v>16</v>
      </c>
      <c r="C16" s="29">
        <f t="shared" si="0"/>
        <v>12.8</v>
      </c>
      <c r="D16" s="29">
        <v>16</v>
      </c>
      <c r="E16" s="29">
        <f>D16*0.8</f>
        <v>12.8</v>
      </c>
      <c r="F16" s="29">
        <v>16</v>
      </c>
      <c r="G16" s="29">
        <f>F16*0.8</f>
        <v>12.8</v>
      </c>
      <c r="H16" s="29">
        <v>13.5</v>
      </c>
      <c r="I16" s="29">
        <f t="shared" si="1"/>
        <v>10.8</v>
      </c>
      <c r="J16" s="34" t="s">
        <v>57</v>
      </c>
      <c r="K16" s="34" t="s">
        <v>57</v>
      </c>
      <c r="L16" s="34">
        <v>20</v>
      </c>
      <c r="M16" s="34">
        <v>16</v>
      </c>
      <c r="N16" s="27">
        <v>18.899999999999999</v>
      </c>
      <c r="O16" s="27">
        <v>15.1</v>
      </c>
      <c r="P16" s="27">
        <v>20</v>
      </c>
      <c r="Q16" s="27">
        <v>16</v>
      </c>
      <c r="R16" s="27">
        <v>20</v>
      </c>
      <c r="S16" s="27">
        <v>16</v>
      </c>
      <c r="T16" s="27">
        <v>20</v>
      </c>
      <c r="U16" s="27">
        <v>16</v>
      </c>
    </row>
    <row r="17" spans="1:21" ht="13.5" customHeight="1" x14ac:dyDescent="0.15">
      <c r="A17" s="31"/>
      <c r="B17" s="29"/>
      <c r="C17" s="29"/>
      <c r="D17" s="29"/>
      <c r="E17" s="29"/>
      <c r="F17" s="29"/>
      <c r="G17" s="29"/>
      <c r="H17" s="29"/>
      <c r="I17" s="29"/>
      <c r="J17" s="34"/>
      <c r="K17" s="34"/>
      <c r="L17" s="34"/>
      <c r="M17" s="34"/>
      <c r="N17" s="27"/>
      <c r="O17" s="27"/>
      <c r="P17" s="27"/>
      <c r="Q17" s="27"/>
      <c r="R17" s="27"/>
      <c r="S17" s="27"/>
      <c r="T17" s="27"/>
      <c r="U17" s="27"/>
    </row>
    <row r="18" spans="1:21" ht="13.5" customHeight="1" x14ac:dyDescent="0.15">
      <c r="A18" s="31" t="s">
        <v>6</v>
      </c>
      <c r="B18" s="29">
        <v>20</v>
      </c>
      <c r="C18" s="29">
        <f t="shared" si="0"/>
        <v>16</v>
      </c>
      <c r="D18" s="29">
        <v>20</v>
      </c>
      <c r="E18" s="29">
        <f>D18*0.8</f>
        <v>16</v>
      </c>
      <c r="F18" s="29">
        <v>20</v>
      </c>
      <c r="G18" s="29">
        <f>F18*0.8</f>
        <v>16</v>
      </c>
      <c r="H18" s="29">
        <v>15</v>
      </c>
      <c r="I18" s="29">
        <f t="shared" si="1"/>
        <v>12</v>
      </c>
      <c r="J18" s="34" t="s">
        <v>57</v>
      </c>
      <c r="K18" s="34" t="s">
        <v>57</v>
      </c>
      <c r="L18" s="34">
        <v>25</v>
      </c>
      <c r="M18" s="34">
        <v>20</v>
      </c>
      <c r="N18" s="27">
        <v>24</v>
      </c>
      <c r="O18" s="27">
        <f t="shared" ref="O18:O23" si="2">N18*0.8</f>
        <v>19.200000000000003</v>
      </c>
      <c r="P18" s="27">
        <v>25</v>
      </c>
      <c r="Q18" s="27">
        <f>P18*0.8</f>
        <v>20</v>
      </c>
      <c r="R18" s="27">
        <v>25</v>
      </c>
      <c r="S18" s="27">
        <f>R18*0.8</f>
        <v>20</v>
      </c>
      <c r="T18" s="27">
        <v>25</v>
      </c>
      <c r="U18" s="27">
        <f>T18*0.8</f>
        <v>20</v>
      </c>
    </row>
    <row r="19" spans="1:21" ht="13.5" customHeight="1" x14ac:dyDescent="0.15">
      <c r="A19" s="31" t="s">
        <v>7</v>
      </c>
      <c r="B19" s="29">
        <v>22.5</v>
      </c>
      <c r="C19" s="29">
        <f t="shared" si="0"/>
        <v>18</v>
      </c>
      <c r="D19" s="29">
        <v>22.5</v>
      </c>
      <c r="E19" s="29">
        <f>D19*0.8</f>
        <v>18</v>
      </c>
      <c r="F19" s="29">
        <v>22.5</v>
      </c>
      <c r="G19" s="29">
        <f>F19*0.8</f>
        <v>18</v>
      </c>
      <c r="H19" s="29">
        <v>17.5</v>
      </c>
      <c r="I19" s="29">
        <f t="shared" si="1"/>
        <v>14</v>
      </c>
      <c r="J19" s="34" t="s">
        <v>57</v>
      </c>
      <c r="K19" s="34" t="s">
        <v>57</v>
      </c>
      <c r="L19" s="34">
        <v>27.5</v>
      </c>
      <c r="M19" s="34">
        <v>22</v>
      </c>
      <c r="N19" s="27">
        <v>27.5</v>
      </c>
      <c r="O19" s="27">
        <v>22</v>
      </c>
      <c r="P19" s="27">
        <v>28.8</v>
      </c>
      <c r="Q19" s="27">
        <v>23</v>
      </c>
      <c r="R19" s="27">
        <v>28.8</v>
      </c>
      <c r="S19" s="27">
        <v>23</v>
      </c>
      <c r="T19" s="27">
        <v>30</v>
      </c>
      <c r="U19" s="27">
        <v>24</v>
      </c>
    </row>
    <row r="20" spans="1:21" ht="13.5" customHeight="1" x14ac:dyDescent="0.15">
      <c r="A20" s="31" t="s">
        <v>8</v>
      </c>
      <c r="B20" s="29">
        <v>27.5</v>
      </c>
      <c r="C20" s="29">
        <f t="shared" si="0"/>
        <v>22</v>
      </c>
      <c r="D20" s="29">
        <v>27.5</v>
      </c>
      <c r="E20" s="29">
        <f>D20*0.8</f>
        <v>22</v>
      </c>
      <c r="F20" s="29">
        <v>27.5</v>
      </c>
      <c r="G20" s="29">
        <f>F20*0.8</f>
        <v>22</v>
      </c>
      <c r="H20" s="29">
        <v>22</v>
      </c>
      <c r="I20" s="29">
        <f t="shared" si="1"/>
        <v>17.600000000000001</v>
      </c>
      <c r="J20" s="34" t="s">
        <v>57</v>
      </c>
      <c r="K20" s="34" t="s">
        <v>57</v>
      </c>
      <c r="L20" s="34">
        <v>32.5</v>
      </c>
      <c r="M20" s="34">
        <v>26</v>
      </c>
      <c r="N20" s="27">
        <v>32.5</v>
      </c>
      <c r="O20" s="27">
        <v>26</v>
      </c>
      <c r="P20" s="27">
        <v>34.4</v>
      </c>
      <c r="Q20" s="27">
        <v>27.5</v>
      </c>
      <c r="R20" s="27">
        <v>34.4</v>
      </c>
      <c r="S20" s="27">
        <v>27.5</v>
      </c>
      <c r="T20" s="27">
        <v>35</v>
      </c>
      <c r="U20" s="27">
        <v>28</v>
      </c>
    </row>
    <row r="21" spans="1:21" ht="13.5" customHeight="1" x14ac:dyDescent="0.15">
      <c r="A21" s="31" t="s">
        <v>9</v>
      </c>
      <c r="B21" s="29">
        <v>31.3</v>
      </c>
      <c r="C21" s="29">
        <v>25</v>
      </c>
      <c r="D21" s="29">
        <v>31.3</v>
      </c>
      <c r="E21" s="29">
        <v>25</v>
      </c>
      <c r="F21" s="29">
        <v>31.3</v>
      </c>
      <c r="G21" s="29">
        <v>25</v>
      </c>
      <c r="H21" s="29">
        <v>25</v>
      </c>
      <c r="I21" s="29">
        <f t="shared" si="1"/>
        <v>20</v>
      </c>
      <c r="J21" s="34" t="s">
        <v>57</v>
      </c>
      <c r="K21" s="34" t="s">
        <v>57</v>
      </c>
      <c r="L21" s="34">
        <v>37.5</v>
      </c>
      <c r="M21" s="34">
        <v>30</v>
      </c>
      <c r="N21" s="27">
        <v>35</v>
      </c>
      <c r="O21" s="27">
        <f t="shared" si="2"/>
        <v>28</v>
      </c>
      <c r="P21" s="27">
        <v>37.5</v>
      </c>
      <c r="Q21" s="27">
        <f>P21*0.8</f>
        <v>30</v>
      </c>
      <c r="R21" s="27">
        <v>37.5</v>
      </c>
      <c r="S21" s="27">
        <f>R21*0.8</f>
        <v>30</v>
      </c>
      <c r="T21" s="27">
        <v>37.5</v>
      </c>
      <c r="U21" s="27">
        <f>T21*0.8</f>
        <v>30</v>
      </c>
    </row>
    <row r="22" spans="1:21" ht="13.5" customHeight="1" x14ac:dyDescent="0.15">
      <c r="A22" s="31" t="s">
        <v>10</v>
      </c>
      <c r="B22" s="29">
        <v>37.5</v>
      </c>
      <c r="C22" s="29">
        <f t="shared" si="0"/>
        <v>30</v>
      </c>
      <c r="D22" s="29">
        <v>37.5</v>
      </c>
      <c r="E22" s="29">
        <f>D22*0.8</f>
        <v>30</v>
      </c>
      <c r="F22" s="29">
        <v>37.5</v>
      </c>
      <c r="G22" s="29">
        <f>F22*0.8</f>
        <v>30</v>
      </c>
      <c r="H22" s="29">
        <v>30</v>
      </c>
      <c r="I22" s="29">
        <f t="shared" si="1"/>
        <v>24</v>
      </c>
      <c r="J22" s="34" t="s">
        <v>57</v>
      </c>
      <c r="K22" s="34" t="s">
        <v>57</v>
      </c>
      <c r="L22" s="34">
        <v>43.5</v>
      </c>
      <c r="M22" s="34">
        <v>34.799999999999997</v>
      </c>
      <c r="N22" s="27">
        <v>44.3</v>
      </c>
      <c r="O22" s="27">
        <v>35.4</v>
      </c>
      <c r="P22" s="27">
        <v>46.9</v>
      </c>
      <c r="Q22" s="27">
        <v>37.5</v>
      </c>
      <c r="R22" s="27">
        <v>46.9</v>
      </c>
      <c r="S22" s="27">
        <v>37.5</v>
      </c>
      <c r="T22" s="27">
        <v>46.9</v>
      </c>
      <c r="U22" s="27">
        <v>37.5</v>
      </c>
    </row>
    <row r="23" spans="1:21" ht="13.5" customHeight="1" x14ac:dyDescent="0.15">
      <c r="A23" s="31" t="s">
        <v>11</v>
      </c>
      <c r="B23" s="29">
        <v>40</v>
      </c>
      <c r="C23" s="29">
        <f t="shared" si="0"/>
        <v>32</v>
      </c>
      <c r="D23" s="29">
        <v>40</v>
      </c>
      <c r="E23" s="29">
        <f>D23*0.8</f>
        <v>32</v>
      </c>
      <c r="F23" s="29">
        <v>40</v>
      </c>
      <c r="G23" s="29">
        <f>F23*0.8</f>
        <v>32</v>
      </c>
      <c r="H23" s="29">
        <v>32</v>
      </c>
      <c r="I23" s="29">
        <f t="shared" si="1"/>
        <v>25.6</v>
      </c>
      <c r="J23" s="34" t="s">
        <v>57</v>
      </c>
      <c r="K23" s="34" t="s">
        <v>57</v>
      </c>
      <c r="L23" s="34">
        <v>47.5</v>
      </c>
      <c r="M23" s="34">
        <v>38</v>
      </c>
      <c r="N23" s="27">
        <v>47.3</v>
      </c>
      <c r="O23" s="27">
        <f t="shared" si="2"/>
        <v>37.839999999999996</v>
      </c>
      <c r="P23" s="27">
        <v>50</v>
      </c>
      <c r="Q23" s="27">
        <f>P23*0.8</f>
        <v>40</v>
      </c>
      <c r="R23" s="27">
        <v>50</v>
      </c>
      <c r="S23" s="27">
        <f>R23*0.8</f>
        <v>40</v>
      </c>
      <c r="T23" s="27">
        <v>50</v>
      </c>
      <c r="U23" s="27">
        <f>T23*0.8</f>
        <v>40</v>
      </c>
    </row>
    <row r="24" spans="1:21" ht="13.5" customHeight="1" x14ac:dyDescent="0.15">
      <c r="A24" s="31"/>
      <c r="B24" s="29"/>
      <c r="C24" s="29"/>
      <c r="D24" s="29"/>
      <c r="E24" s="29"/>
      <c r="F24" s="29"/>
      <c r="G24" s="29"/>
      <c r="H24" s="29"/>
      <c r="I24" s="29"/>
      <c r="J24" s="34"/>
      <c r="K24" s="34"/>
      <c r="L24" s="34"/>
      <c r="M24" s="34"/>
      <c r="N24" s="27"/>
      <c r="O24" s="27"/>
      <c r="P24" s="27"/>
      <c r="Q24" s="27"/>
      <c r="R24" s="27"/>
      <c r="S24" s="27"/>
      <c r="T24" s="27"/>
      <c r="U24" s="27"/>
    </row>
    <row r="25" spans="1:21" ht="13.5" customHeight="1" x14ac:dyDescent="0.15">
      <c r="A25" s="31" t="s">
        <v>13</v>
      </c>
      <c r="B25" s="30">
        <v>42.5</v>
      </c>
      <c r="C25" s="30">
        <f>B25*0.8</f>
        <v>34</v>
      </c>
      <c r="D25" s="30">
        <v>42.5</v>
      </c>
      <c r="E25" s="30">
        <f>D25*0.8</f>
        <v>34</v>
      </c>
      <c r="F25" s="30">
        <v>42.5</v>
      </c>
      <c r="G25" s="30">
        <f>F25*0.8</f>
        <v>34</v>
      </c>
      <c r="H25" s="30">
        <v>30</v>
      </c>
      <c r="I25" s="29">
        <f t="shared" si="1"/>
        <v>24</v>
      </c>
      <c r="J25" s="34" t="s">
        <v>57</v>
      </c>
      <c r="K25" s="34" t="s">
        <v>57</v>
      </c>
      <c r="L25" s="35">
        <v>55</v>
      </c>
      <c r="M25" s="35">
        <v>44</v>
      </c>
      <c r="N25" s="28">
        <v>50</v>
      </c>
      <c r="O25" s="28">
        <f>N25*0.8</f>
        <v>40</v>
      </c>
      <c r="P25" s="28">
        <v>52.5</v>
      </c>
      <c r="Q25" s="28">
        <f>P25*0.8</f>
        <v>42</v>
      </c>
      <c r="R25" s="28">
        <v>52.5</v>
      </c>
      <c r="S25" s="28">
        <f>R25*0.8</f>
        <v>42</v>
      </c>
      <c r="T25" s="28">
        <v>55</v>
      </c>
      <c r="U25" s="28">
        <f>T25*0.8</f>
        <v>44</v>
      </c>
    </row>
    <row r="26" spans="1:21" ht="13.5" customHeight="1" x14ac:dyDescent="0.15">
      <c r="A26" s="31" t="s">
        <v>14</v>
      </c>
      <c r="B26" s="30">
        <v>50</v>
      </c>
      <c r="C26" s="30">
        <f t="shared" ref="C26:C39" si="3">B26*0.8</f>
        <v>40</v>
      </c>
      <c r="D26" s="30">
        <v>50</v>
      </c>
      <c r="E26" s="30">
        <f>D26*0.8</f>
        <v>40</v>
      </c>
      <c r="F26" s="30">
        <v>50</v>
      </c>
      <c r="G26" s="30">
        <f>F26*0.8</f>
        <v>40</v>
      </c>
      <c r="H26" s="30">
        <v>37.5</v>
      </c>
      <c r="I26" s="29">
        <f t="shared" si="1"/>
        <v>30</v>
      </c>
      <c r="J26" s="34" t="s">
        <v>57</v>
      </c>
      <c r="K26" s="34" t="s">
        <v>57</v>
      </c>
      <c r="L26" s="35">
        <v>62.5</v>
      </c>
      <c r="M26" s="35">
        <v>50</v>
      </c>
      <c r="N26" s="28">
        <v>60</v>
      </c>
      <c r="O26" s="28">
        <f>N26*0.8</f>
        <v>48</v>
      </c>
      <c r="P26" s="28">
        <v>62.5</v>
      </c>
      <c r="Q26" s="28">
        <f>P26*0.8</f>
        <v>50</v>
      </c>
      <c r="R26" s="28">
        <v>62.5</v>
      </c>
      <c r="S26" s="28">
        <f>R26*0.8</f>
        <v>50</v>
      </c>
      <c r="T26" s="28">
        <v>65</v>
      </c>
      <c r="U26" s="28">
        <f>T26*0.8</f>
        <v>52</v>
      </c>
    </row>
    <row r="27" spans="1:21" ht="13.5" customHeight="1" x14ac:dyDescent="0.15">
      <c r="A27" s="31" t="s">
        <v>15</v>
      </c>
      <c r="B27" s="30">
        <v>60</v>
      </c>
      <c r="C27" s="30">
        <f t="shared" si="3"/>
        <v>48</v>
      </c>
      <c r="D27" s="30">
        <v>60</v>
      </c>
      <c r="E27" s="30">
        <f>D27*0.8</f>
        <v>48</v>
      </c>
      <c r="F27" s="30">
        <v>60</v>
      </c>
      <c r="G27" s="30">
        <f>F27*0.8</f>
        <v>48</v>
      </c>
      <c r="H27" s="30">
        <v>45</v>
      </c>
      <c r="I27" s="29">
        <f t="shared" si="1"/>
        <v>36</v>
      </c>
      <c r="J27" s="34" t="s">
        <v>57</v>
      </c>
      <c r="K27" s="34" t="s">
        <v>57</v>
      </c>
      <c r="L27" s="35">
        <v>70</v>
      </c>
      <c r="M27" s="35">
        <v>56</v>
      </c>
      <c r="N27" s="28">
        <v>67.5</v>
      </c>
      <c r="O27" s="28">
        <f>N27*0.8</f>
        <v>54</v>
      </c>
      <c r="P27" s="28">
        <v>70</v>
      </c>
      <c r="Q27" s="28">
        <f>P27*0.8</f>
        <v>56</v>
      </c>
      <c r="R27" s="28">
        <v>70</v>
      </c>
      <c r="S27" s="28">
        <f>R27*0.8</f>
        <v>56</v>
      </c>
      <c r="T27" s="28">
        <v>75</v>
      </c>
      <c r="U27" s="28">
        <f>T27*0.8</f>
        <v>60</v>
      </c>
    </row>
    <row r="28" spans="1:21" ht="13.5" customHeight="1" x14ac:dyDescent="0.15">
      <c r="A28" s="31" t="s">
        <v>16</v>
      </c>
      <c r="B28" s="30">
        <v>72.5</v>
      </c>
      <c r="C28" s="30">
        <f t="shared" si="3"/>
        <v>58</v>
      </c>
      <c r="D28" s="30">
        <v>72.5</v>
      </c>
      <c r="E28" s="30">
        <f>D28*0.8</f>
        <v>58</v>
      </c>
      <c r="F28" s="30">
        <v>72.5</v>
      </c>
      <c r="G28" s="30">
        <f>F28*0.8</f>
        <v>58</v>
      </c>
      <c r="H28" s="30">
        <v>55</v>
      </c>
      <c r="I28" s="29">
        <f t="shared" si="1"/>
        <v>44</v>
      </c>
      <c r="J28" s="34" t="s">
        <v>57</v>
      </c>
      <c r="K28" s="34" t="s">
        <v>57</v>
      </c>
      <c r="L28" s="35">
        <v>85</v>
      </c>
      <c r="M28" s="35">
        <v>68</v>
      </c>
      <c r="N28" s="28">
        <v>83.8</v>
      </c>
      <c r="O28" s="28">
        <v>67</v>
      </c>
      <c r="P28" s="28">
        <v>87.5</v>
      </c>
      <c r="Q28" s="28">
        <f>P28*0.8</f>
        <v>70</v>
      </c>
      <c r="R28" s="28">
        <v>87.5</v>
      </c>
      <c r="S28" s="28">
        <f>R28*0.8</f>
        <v>70</v>
      </c>
      <c r="T28" s="28">
        <v>93.8</v>
      </c>
      <c r="U28" s="28">
        <f>T28*0.8</f>
        <v>75.040000000000006</v>
      </c>
    </row>
    <row r="29" spans="1:21" ht="13.5" customHeight="1" x14ac:dyDescent="0.15">
      <c r="A29" s="31" t="s">
        <v>17</v>
      </c>
      <c r="B29" s="30">
        <v>85</v>
      </c>
      <c r="C29" s="30">
        <f t="shared" si="3"/>
        <v>68</v>
      </c>
      <c r="D29" s="30">
        <v>85</v>
      </c>
      <c r="E29" s="30">
        <f>D29*0.8</f>
        <v>68</v>
      </c>
      <c r="F29" s="30">
        <v>85</v>
      </c>
      <c r="G29" s="30">
        <f>F29*0.8</f>
        <v>68</v>
      </c>
      <c r="H29" s="30">
        <v>75</v>
      </c>
      <c r="I29" s="29">
        <f t="shared" si="1"/>
        <v>60</v>
      </c>
      <c r="J29" s="34" t="s">
        <v>57</v>
      </c>
      <c r="K29" s="34" t="s">
        <v>57</v>
      </c>
      <c r="L29" s="35">
        <v>100</v>
      </c>
      <c r="M29" s="35">
        <v>80</v>
      </c>
      <c r="N29" s="28">
        <v>93.8</v>
      </c>
      <c r="O29" s="28">
        <v>75</v>
      </c>
      <c r="P29" s="28">
        <v>97.5</v>
      </c>
      <c r="Q29" s="28">
        <f>P29*0.8</f>
        <v>78</v>
      </c>
      <c r="R29" s="28">
        <v>100</v>
      </c>
      <c r="S29" s="28">
        <f>R29*0.8</f>
        <v>80</v>
      </c>
      <c r="T29" s="28">
        <v>103.8</v>
      </c>
      <c r="U29" s="28">
        <f>T29*0.8</f>
        <v>83.04</v>
      </c>
    </row>
    <row r="30" spans="1:21" ht="13.5" customHeight="1" x14ac:dyDescent="0.15">
      <c r="A30" s="31"/>
      <c r="B30" s="30"/>
      <c r="C30" s="30"/>
      <c r="D30" s="30"/>
      <c r="E30" s="30"/>
      <c r="F30" s="30"/>
      <c r="G30" s="30"/>
      <c r="H30" s="30"/>
      <c r="I30" s="29"/>
      <c r="J30" s="35"/>
      <c r="K30" s="35"/>
      <c r="L30" s="35"/>
      <c r="M30" s="35"/>
      <c r="N30" s="28"/>
      <c r="O30" s="28"/>
      <c r="P30" s="28"/>
      <c r="Q30" s="28"/>
      <c r="R30" s="28"/>
      <c r="S30" s="28"/>
      <c r="T30" s="28"/>
      <c r="U30" s="28"/>
    </row>
    <row r="31" spans="1:21" ht="13.5" customHeight="1" x14ac:dyDescent="0.15">
      <c r="A31" s="31" t="s">
        <v>18</v>
      </c>
      <c r="B31" s="30">
        <v>100</v>
      </c>
      <c r="C31" s="30">
        <f t="shared" si="3"/>
        <v>80</v>
      </c>
      <c r="D31" s="30">
        <v>100</v>
      </c>
      <c r="E31" s="30">
        <f t="shared" ref="E31:E39" si="4">D31*0.8</f>
        <v>80</v>
      </c>
      <c r="F31" s="30">
        <v>100</v>
      </c>
      <c r="G31" s="30">
        <f t="shared" ref="G31:G39" si="5">F31*0.8</f>
        <v>80</v>
      </c>
      <c r="H31" s="39" t="s">
        <v>53</v>
      </c>
      <c r="I31" s="55" t="s">
        <v>53</v>
      </c>
      <c r="J31" s="34" t="s">
        <v>57</v>
      </c>
      <c r="K31" s="34" t="s">
        <v>57</v>
      </c>
      <c r="L31" s="35">
        <v>120</v>
      </c>
      <c r="M31" s="35">
        <v>96</v>
      </c>
      <c r="N31" s="123">
        <v>112.5</v>
      </c>
      <c r="O31" s="123">
        <f t="shared" ref="O31:O39" si="6">N31*0.8</f>
        <v>90</v>
      </c>
      <c r="P31" s="123">
        <v>117.5</v>
      </c>
      <c r="Q31" s="123">
        <f>P31*0.8</f>
        <v>94</v>
      </c>
      <c r="R31" s="123">
        <v>117.5</v>
      </c>
      <c r="S31" s="123">
        <f>R31*0.8</f>
        <v>94</v>
      </c>
      <c r="T31" s="123">
        <v>125</v>
      </c>
      <c r="U31" s="28">
        <f t="shared" ref="U31:U39" si="7">T31*0.8</f>
        <v>100</v>
      </c>
    </row>
    <row r="32" spans="1:21" ht="13.5" customHeight="1" x14ac:dyDescent="0.15">
      <c r="A32" s="31" t="s">
        <v>38</v>
      </c>
      <c r="B32" s="30">
        <v>125</v>
      </c>
      <c r="C32" s="30">
        <f>B32*0.8</f>
        <v>100</v>
      </c>
      <c r="D32" s="30">
        <v>125</v>
      </c>
      <c r="E32" s="30">
        <f t="shared" si="4"/>
        <v>100</v>
      </c>
      <c r="F32" s="30">
        <v>125</v>
      </c>
      <c r="G32" s="30">
        <f t="shared" si="5"/>
        <v>100</v>
      </c>
      <c r="H32" s="39" t="s">
        <v>53</v>
      </c>
      <c r="I32" s="55" t="s">
        <v>53</v>
      </c>
      <c r="J32" s="34" t="s">
        <v>57</v>
      </c>
      <c r="K32" s="34" t="s">
        <v>57</v>
      </c>
      <c r="L32" s="35">
        <v>140</v>
      </c>
      <c r="M32" s="35">
        <f>L32*0.8</f>
        <v>112</v>
      </c>
      <c r="N32" s="28">
        <v>140</v>
      </c>
      <c r="O32" s="28">
        <f t="shared" si="6"/>
        <v>112</v>
      </c>
      <c r="P32" s="28">
        <v>150</v>
      </c>
      <c r="Q32" s="28">
        <f>P32*0.8</f>
        <v>120</v>
      </c>
      <c r="R32" s="28">
        <v>150</v>
      </c>
      <c r="S32" s="28">
        <f>R32*0.8</f>
        <v>120</v>
      </c>
      <c r="T32" s="28">
        <v>150</v>
      </c>
      <c r="U32" s="28">
        <f t="shared" si="7"/>
        <v>120</v>
      </c>
    </row>
    <row r="33" spans="1:21" ht="13.5" customHeight="1" x14ac:dyDescent="0.15">
      <c r="A33" s="31" t="s">
        <v>19</v>
      </c>
      <c r="B33" s="30">
        <v>140</v>
      </c>
      <c r="C33" s="30">
        <f t="shared" si="3"/>
        <v>112</v>
      </c>
      <c r="D33" s="30">
        <v>140</v>
      </c>
      <c r="E33" s="30">
        <f t="shared" si="4"/>
        <v>112</v>
      </c>
      <c r="F33" s="30">
        <v>140</v>
      </c>
      <c r="G33" s="30">
        <f t="shared" si="5"/>
        <v>112</v>
      </c>
      <c r="H33" s="39" t="s">
        <v>53</v>
      </c>
      <c r="I33" s="55" t="s">
        <v>53</v>
      </c>
      <c r="J33" s="34" t="s">
        <v>57</v>
      </c>
      <c r="K33" s="34" t="s">
        <v>57</v>
      </c>
      <c r="L33" s="35">
        <v>160</v>
      </c>
      <c r="M33" s="35">
        <v>128</v>
      </c>
      <c r="N33" s="28">
        <v>160</v>
      </c>
      <c r="O33" s="28">
        <f t="shared" si="6"/>
        <v>128</v>
      </c>
      <c r="P33" s="28">
        <v>168</v>
      </c>
      <c r="Q33" s="28">
        <v>134</v>
      </c>
      <c r="R33" s="28">
        <v>168</v>
      </c>
      <c r="S33" s="28">
        <v>134</v>
      </c>
      <c r="T33" s="28">
        <v>178</v>
      </c>
      <c r="U33" s="123">
        <f t="shared" si="7"/>
        <v>142.4</v>
      </c>
    </row>
    <row r="34" spans="1:21" ht="13.5" customHeight="1" x14ac:dyDescent="0.15">
      <c r="A34" s="31" t="s">
        <v>20</v>
      </c>
      <c r="B34" s="30">
        <v>150</v>
      </c>
      <c r="C34" s="30">
        <f>B34*0.8</f>
        <v>120</v>
      </c>
      <c r="D34" s="30">
        <v>150</v>
      </c>
      <c r="E34" s="30">
        <f t="shared" si="4"/>
        <v>120</v>
      </c>
      <c r="F34" s="30">
        <v>150</v>
      </c>
      <c r="G34" s="30">
        <f t="shared" si="5"/>
        <v>120</v>
      </c>
      <c r="H34" s="39" t="s">
        <v>53</v>
      </c>
      <c r="I34" s="55" t="s">
        <v>53</v>
      </c>
      <c r="J34" s="34" t="s">
        <v>57</v>
      </c>
      <c r="K34" s="34" t="s">
        <v>57</v>
      </c>
      <c r="L34" s="35">
        <v>170</v>
      </c>
      <c r="M34" s="35">
        <f>L34*0.8</f>
        <v>136</v>
      </c>
      <c r="N34" s="28">
        <v>170</v>
      </c>
      <c r="O34" s="28">
        <f t="shared" si="6"/>
        <v>136</v>
      </c>
      <c r="P34" s="28">
        <v>180</v>
      </c>
      <c r="Q34" s="28">
        <v>144</v>
      </c>
      <c r="R34" s="28">
        <v>180</v>
      </c>
      <c r="S34" s="28">
        <v>144</v>
      </c>
      <c r="T34" s="28">
        <v>190</v>
      </c>
      <c r="U34" s="28">
        <f t="shared" si="7"/>
        <v>152</v>
      </c>
    </row>
    <row r="35" spans="1:21" ht="13.5" customHeight="1" x14ac:dyDescent="0.15">
      <c r="A35" s="31" t="s">
        <v>21</v>
      </c>
      <c r="B35" s="30">
        <v>160</v>
      </c>
      <c r="C35" s="30">
        <f t="shared" si="3"/>
        <v>128</v>
      </c>
      <c r="D35" s="30">
        <v>160</v>
      </c>
      <c r="E35" s="30">
        <f t="shared" si="4"/>
        <v>128</v>
      </c>
      <c r="F35" s="30">
        <v>160</v>
      </c>
      <c r="G35" s="30">
        <f t="shared" si="5"/>
        <v>128</v>
      </c>
      <c r="H35" s="39" t="s">
        <v>53</v>
      </c>
      <c r="I35" s="55" t="s">
        <v>53</v>
      </c>
      <c r="J35" s="34" t="s">
        <v>57</v>
      </c>
      <c r="K35" s="34" t="s">
        <v>57</v>
      </c>
      <c r="L35" s="35">
        <v>180</v>
      </c>
      <c r="M35" s="35">
        <v>144</v>
      </c>
      <c r="N35" s="28">
        <v>181</v>
      </c>
      <c r="O35" s="28">
        <f t="shared" si="6"/>
        <v>144.80000000000001</v>
      </c>
      <c r="P35" s="28">
        <v>190</v>
      </c>
      <c r="Q35" s="28">
        <f>P35*0.8</f>
        <v>152</v>
      </c>
      <c r="R35" s="28">
        <v>190</v>
      </c>
      <c r="S35" s="28">
        <f>R35*0.8</f>
        <v>152</v>
      </c>
      <c r="T35" s="28">
        <v>200</v>
      </c>
      <c r="U35" s="28">
        <f t="shared" si="7"/>
        <v>160</v>
      </c>
    </row>
    <row r="36" spans="1:21" ht="13.5" customHeight="1" x14ac:dyDescent="0.15">
      <c r="A36" s="31" t="s">
        <v>22</v>
      </c>
      <c r="B36" s="30">
        <v>180</v>
      </c>
      <c r="C36" s="30">
        <f t="shared" si="3"/>
        <v>144</v>
      </c>
      <c r="D36" s="30">
        <v>180</v>
      </c>
      <c r="E36" s="30">
        <f t="shared" si="4"/>
        <v>144</v>
      </c>
      <c r="F36" s="30">
        <v>180</v>
      </c>
      <c r="G36" s="30">
        <f t="shared" si="5"/>
        <v>144</v>
      </c>
      <c r="H36" s="39" t="s">
        <v>53</v>
      </c>
      <c r="I36" s="55" t="s">
        <v>53</v>
      </c>
      <c r="J36" s="34" t="s">
        <v>57</v>
      </c>
      <c r="K36" s="34" t="s">
        <v>57</v>
      </c>
      <c r="L36" s="35">
        <v>200</v>
      </c>
      <c r="M36" s="35">
        <v>160</v>
      </c>
      <c r="N36" s="28">
        <v>200</v>
      </c>
      <c r="O36" s="28">
        <f t="shared" si="6"/>
        <v>160</v>
      </c>
      <c r="P36" s="28">
        <v>213</v>
      </c>
      <c r="Q36" s="28">
        <f>P36*0.8</f>
        <v>170.4</v>
      </c>
      <c r="R36" s="28">
        <v>213</v>
      </c>
      <c r="S36" s="28">
        <f>R36*0.8</f>
        <v>170.4</v>
      </c>
      <c r="T36" s="28">
        <v>220</v>
      </c>
      <c r="U36" s="28">
        <f t="shared" si="7"/>
        <v>176</v>
      </c>
    </row>
    <row r="37" spans="1:21" ht="13.5" customHeight="1" x14ac:dyDescent="0.15">
      <c r="A37" s="31" t="s">
        <v>23</v>
      </c>
      <c r="B37" s="30">
        <v>200</v>
      </c>
      <c r="C37" s="30">
        <f t="shared" si="3"/>
        <v>160</v>
      </c>
      <c r="D37" s="30">
        <v>200</v>
      </c>
      <c r="E37" s="30">
        <f t="shared" si="4"/>
        <v>160</v>
      </c>
      <c r="F37" s="30">
        <v>200</v>
      </c>
      <c r="G37" s="30">
        <f t="shared" si="5"/>
        <v>160</v>
      </c>
      <c r="H37" s="39" t="s">
        <v>53</v>
      </c>
      <c r="I37" s="55" t="s">
        <v>53</v>
      </c>
      <c r="J37" s="34" t="s">
        <v>57</v>
      </c>
      <c r="K37" s="34" t="s">
        <v>57</v>
      </c>
      <c r="L37" s="35">
        <v>237.5</v>
      </c>
      <c r="M37" s="35">
        <v>190</v>
      </c>
      <c r="N37" s="28">
        <v>237</v>
      </c>
      <c r="O37" s="28">
        <f t="shared" si="6"/>
        <v>189.60000000000002</v>
      </c>
      <c r="P37" s="28">
        <v>245</v>
      </c>
      <c r="Q37" s="28">
        <f>P37*0.8</f>
        <v>196</v>
      </c>
      <c r="R37" s="28">
        <v>245</v>
      </c>
      <c r="S37" s="28">
        <f>R37*0.8</f>
        <v>196</v>
      </c>
      <c r="T37" s="28">
        <v>250</v>
      </c>
      <c r="U37" s="28">
        <f t="shared" si="7"/>
        <v>200</v>
      </c>
    </row>
    <row r="38" spans="1:21" ht="13.5" customHeight="1" x14ac:dyDescent="0.15">
      <c r="A38" s="31" t="s">
        <v>24</v>
      </c>
      <c r="B38" s="30">
        <v>225</v>
      </c>
      <c r="C38" s="30">
        <f t="shared" si="3"/>
        <v>180</v>
      </c>
      <c r="D38" s="30">
        <v>225</v>
      </c>
      <c r="E38" s="30">
        <f t="shared" si="4"/>
        <v>180</v>
      </c>
      <c r="F38" s="30">
        <v>225</v>
      </c>
      <c r="G38" s="30">
        <f t="shared" si="5"/>
        <v>180</v>
      </c>
      <c r="H38" s="39" t="s">
        <v>53</v>
      </c>
      <c r="I38" s="55" t="s">
        <v>53</v>
      </c>
      <c r="J38" s="34" t="s">
        <v>57</v>
      </c>
      <c r="K38" s="34" t="s">
        <v>57</v>
      </c>
      <c r="L38" s="104">
        <v>280</v>
      </c>
      <c r="M38" s="104">
        <v>225</v>
      </c>
      <c r="N38" s="28">
        <v>269</v>
      </c>
      <c r="O38" s="28">
        <f t="shared" si="6"/>
        <v>215.20000000000002</v>
      </c>
      <c r="P38" s="28">
        <v>281</v>
      </c>
      <c r="Q38" s="28">
        <v>225</v>
      </c>
      <c r="R38" s="28">
        <v>281</v>
      </c>
      <c r="S38" s="28">
        <f>R38*0.8</f>
        <v>224.8</v>
      </c>
      <c r="T38" s="28">
        <v>300</v>
      </c>
      <c r="U38" s="28">
        <f t="shared" si="7"/>
        <v>240</v>
      </c>
    </row>
    <row r="39" spans="1:21" ht="13.5" customHeight="1" x14ac:dyDescent="0.15">
      <c r="A39" s="31" t="s">
        <v>25</v>
      </c>
      <c r="B39" s="30">
        <v>250</v>
      </c>
      <c r="C39" s="30">
        <f t="shared" si="3"/>
        <v>200</v>
      </c>
      <c r="D39" s="30">
        <v>250</v>
      </c>
      <c r="E39" s="30">
        <f t="shared" si="4"/>
        <v>200</v>
      </c>
      <c r="F39" s="30">
        <v>250</v>
      </c>
      <c r="G39" s="30">
        <f t="shared" si="5"/>
        <v>200</v>
      </c>
      <c r="H39" s="39" t="s">
        <v>53</v>
      </c>
      <c r="I39" s="55" t="s">
        <v>53</v>
      </c>
      <c r="J39" s="34" t="s">
        <v>57</v>
      </c>
      <c r="K39" s="34" t="s">
        <v>57</v>
      </c>
      <c r="L39" s="35">
        <v>300</v>
      </c>
      <c r="M39" s="35">
        <v>240</v>
      </c>
      <c r="N39" s="28">
        <v>291</v>
      </c>
      <c r="O39" s="28">
        <f t="shared" si="6"/>
        <v>232.8</v>
      </c>
      <c r="P39" s="28">
        <v>300</v>
      </c>
      <c r="Q39" s="28">
        <v>240</v>
      </c>
      <c r="R39" s="28">
        <v>300</v>
      </c>
      <c r="S39" s="28">
        <v>240</v>
      </c>
      <c r="T39" s="123">
        <v>312.5</v>
      </c>
      <c r="U39" s="28">
        <f t="shared" si="7"/>
        <v>250</v>
      </c>
    </row>
    <row r="40" spans="1:21" ht="13.5" customHeight="1" x14ac:dyDescent="0.15">
      <c r="A40" s="31"/>
      <c r="B40" s="30"/>
      <c r="C40" s="30"/>
      <c r="D40" s="30"/>
      <c r="E40" s="30"/>
      <c r="F40" s="30"/>
      <c r="G40" s="30"/>
      <c r="H40" s="30"/>
      <c r="I40" s="29"/>
      <c r="J40" s="35"/>
      <c r="K40" s="35"/>
      <c r="L40" s="35"/>
      <c r="M40" s="35"/>
      <c r="N40" s="28"/>
      <c r="O40" s="28"/>
      <c r="P40" s="28"/>
      <c r="Q40" s="28"/>
      <c r="R40" s="28"/>
      <c r="S40" s="28"/>
      <c r="T40" s="28"/>
      <c r="U40" s="28"/>
    </row>
    <row r="41" spans="1:21" ht="13.5" customHeight="1" x14ac:dyDescent="0.15">
      <c r="A41" s="32" t="s">
        <v>29</v>
      </c>
      <c r="B41" s="30">
        <v>250</v>
      </c>
      <c r="C41" s="30">
        <f>B41*0.8</f>
        <v>200</v>
      </c>
      <c r="D41" s="30">
        <v>250</v>
      </c>
      <c r="E41" s="30">
        <f>D41*0.8</f>
        <v>200</v>
      </c>
      <c r="F41" s="30">
        <v>250</v>
      </c>
      <c r="G41" s="30">
        <f>F41*0.8</f>
        <v>200</v>
      </c>
      <c r="H41" s="30">
        <v>250</v>
      </c>
      <c r="I41" s="29">
        <f t="shared" si="1"/>
        <v>200</v>
      </c>
      <c r="J41" s="35">
        <v>300</v>
      </c>
      <c r="K41" s="35">
        <v>240</v>
      </c>
      <c r="L41" s="35">
        <v>300</v>
      </c>
      <c r="M41" s="35">
        <v>240</v>
      </c>
      <c r="N41" s="28">
        <v>287.5</v>
      </c>
      <c r="O41" s="28">
        <f t="shared" ref="O41:O47" si="8">N41*0.8</f>
        <v>230</v>
      </c>
      <c r="P41" s="28">
        <v>300</v>
      </c>
      <c r="Q41" s="28">
        <v>240</v>
      </c>
      <c r="R41" s="28">
        <v>300</v>
      </c>
      <c r="S41" s="28">
        <v>240</v>
      </c>
      <c r="T41" s="123">
        <v>312.5</v>
      </c>
      <c r="U41" s="28">
        <f t="shared" ref="U41:U47" si="9">T41*0.8</f>
        <v>250</v>
      </c>
    </row>
    <row r="42" spans="1:21" ht="13.5" customHeight="1" x14ac:dyDescent="0.15">
      <c r="A42" s="32" t="s">
        <v>30</v>
      </c>
      <c r="B42" s="30">
        <v>300</v>
      </c>
      <c r="C42" s="30">
        <f>B42*0.8</f>
        <v>240</v>
      </c>
      <c r="D42" s="30">
        <v>300</v>
      </c>
      <c r="E42" s="30">
        <f>D42*0.8</f>
        <v>240</v>
      </c>
      <c r="F42" s="30">
        <v>300</v>
      </c>
      <c r="G42" s="30">
        <f>F42*0.8</f>
        <v>240</v>
      </c>
      <c r="H42" s="30">
        <v>280</v>
      </c>
      <c r="I42" s="29">
        <f t="shared" si="1"/>
        <v>224</v>
      </c>
      <c r="J42" s="35">
        <v>350</v>
      </c>
      <c r="K42" s="35">
        <v>280</v>
      </c>
      <c r="L42" s="35">
        <v>350</v>
      </c>
      <c r="M42" s="35">
        <v>280</v>
      </c>
      <c r="N42" s="28">
        <v>340</v>
      </c>
      <c r="O42" s="28">
        <f t="shared" si="8"/>
        <v>272</v>
      </c>
      <c r="P42" s="28">
        <v>360</v>
      </c>
      <c r="Q42" s="28">
        <f>P42*0.8</f>
        <v>288</v>
      </c>
      <c r="R42" s="28">
        <v>360</v>
      </c>
      <c r="S42" s="28">
        <f>R42*0.8</f>
        <v>288</v>
      </c>
      <c r="T42" s="28">
        <v>375</v>
      </c>
      <c r="U42" s="28">
        <f t="shared" si="9"/>
        <v>300</v>
      </c>
    </row>
    <row r="43" spans="1:21" ht="13.5" customHeight="1" x14ac:dyDescent="0.15">
      <c r="A43" s="32" t="s">
        <v>26</v>
      </c>
      <c r="B43" s="30">
        <v>313</v>
      </c>
      <c r="C43" s="30">
        <v>250</v>
      </c>
      <c r="D43" s="30">
        <v>313</v>
      </c>
      <c r="E43" s="30">
        <v>250</v>
      </c>
      <c r="F43" s="30">
        <v>313</v>
      </c>
      <c r="G43" s="30">
        <v>250</v>
      </c>
      <c r="H43" s="30">
        <v>290</v>
      </c>
      <c r="I43" s="29">
        <f t="shared" si="1"/>
        <v>232</v>
      </c>
      <c r="J43" s="35">
        <v>360</v>
      </c>
      <c r="K43" s="35">
        <f>J43*0.8</f>
        <v>288</v>
      </c>
      <c r="L43" s="35">
        <v>360</v>
      </c>
      <c r="M43" s="35">
        <f>L43*0.8</f>
        <v>288</v>
      </c>
      <c r="N43" s="28">
        <v>350</v>
      </c>
      <c r="O43" s="28">
        <f t="shared" si="8"/>
        <v>280</v>
      </c>
      <c r="P43" s="28">
        <v>375</v>
      </c>
      <c r="Q43" s="28">
        <f>P43*0.8</f>
        <v>300</v>
      </c>
      <c r="R43" s="28">
        <v>375</v>
      </c>
      <c r="S43" s="28">
        <f>R43*0.8</f>
        <v>300</v>
      </c>
      <c r="T43" s="28">
        <v>388</v>
      </c>
      <c r="U43" s="123">
        <f t="shared" si="9"/>
        <v>310.40000000000003</v>
      </c>
    </row>
    <row r="44" spans="1:21" ht="13.5" customHeight="1" x14ac:dyDescent="0.15">
      <c r="A44" s="32" t="s">
        <v>31</v>
      </c>
      <c r="B44" s="30">
        <v>325</v>
      </c>
      <c r="C44" s="30">
        <f>B44*0.8</f>
        <v>260</v>
      </c>
      <c r="D44" s="30">
        <v>325</v>
      </c>
      <c r="E44" s="30">
        <f>D44*0.8</f>
        <v>260</v>
      </c>
      <c r="F44" s="30">
        <v>325</v>
      </c>
      <c r="G44" s="30">
        <f>F44*0.8</f>
        <v>260</v>
      </c>
      <c r="H44" s="30">
        <v>325</v>
      </c>
      <c r="I44" s="29">
        <f t="shared" si="1"/>
        <v>260</v>
      </c>
      <c r="J44" s="35" t="s">
        <v>57</v>
      </c>
      <c r="K44" s="35" t="s">
        <v>57</v>
      </c>
      <c r="L44" s="35" t="s">
        <v>57</v>
      </c>
      <c r="M44" s="35" t="s">
        <v>57</v>
      </c>
      <c r="N44" s="28">
        <v>381</v>
      </c>
      <c r="O44" s="28">
        <f t="shared" si="8"/>
        <v>304.8</v>
      </c>
      <c r="P44" s="28">
        <v>400</v>
      </c>
      <c r="Q44" s="28">
        <v>320</v>
      </c>
      <c r="R44" s="28">
        <v>400</v>
      </c>
      <c r="S44" s="28">
        <v>320</v>
      </c>
      <c r="T44" s="28">
        <v>415</v>
      </c>
      <c r="U44" s="28">
        <f t="shared" si="9"/>
        <v>332</v>
      </c>
    </row>
    <row r="45" spans="1:21" ht="13.5" customHeight="1" x14ac:dyDescent="0.15">
      <c r="A45" s="32" t="s">
        <v>27</v>
      </c>
      <c r="B45" s="30">
        <v>350</v>
      </c>
      <c r="C45" s="30">
        <f>B45*0.8</f>
        <v>280</v>
      </c>
      <c r="D45" s="30">
        <v>350</v>
      </c>
      <c r="E45" s="30">
        <f>D45*0.8</f>
        <v>280</v>
      </c>
      <c r="F45" s="30">
        <v>350</v>
      </c>
      <c r="G45" s="30">
        <f>F45*0.8</f>
        <v>280</v>
      </c>
      <c r="H45" s="30">
        <v>350</v>
      </c>
      <c r="I45" s="29">
        <f t="shared" si="1"/>
        <v>280</v>
      </c>
      <c r="J45" s="35" t="s">
        <v>57</v>
      </c>
      <c r="K45" s="35" t="s">
        <v>57</v>
      </c>
      <c r="L45" s="35" t="s">
        <v>57</v>
      </c>
      <c r="M45" s="35" t="s">
        <v>57</v>
      </c>
      <c r="N45" s="28">
        <v>400</v>
      </c>
      <c r="O45" s="28">
        <f t="shared" si="8"/>
        <v>320</v>
      </c>
      <c r="P45" s="28">
        <v>420</v>
      </c>
      <c r="Q45" s="28">
        <f>P45*0.8</f>
        <v>336</v>
      </c>
      <c r="R45" s="28">
        <v>420</v>
      </c>
      <c r="S45" s="28">
        <f>R45*0.8</f>
        <v>336</v>
      </c>
      <c r="T45" s="28">
        <v>430</v>
      </c>
      <c r="U45" s="28">
        <f t="shared" si="9"/>
        <v>344</v>
      </c>
    </row>
    <row r="46" spans="1:21" ht="13.5" customHeight="1" x14ac:dyDescent="0.15">
      <c r="A46" s="32" t="s">
        <v>32</v>
      </c>
      <c r="B46" s="30">
        <v>375</v>
      </c>
      <c r="C46" s="30">
        <f>B46*0.8</f>
        <v>300</v>
      </c>
      <c r="D46" s="30">
        <v>375</v>
      </c>
      <c r="E46" s="30">
        <f>D46*0.8</f>
        <v>300</v>
      </c>
      <c r="F46" s="30">
        <v>375</v>
      </c>
      <c r="G46" s="30">
        <f>F46*0.8</f>
        <v>300</v>
      </c>
      <c r="H46" s="30">
        <v>375</v>
      </c>
      <c r="I46" s="29">
        <f t="shared" si="1"/>
        <v>300</v>
      </c>
      <c r="J46" s="35">
        <v>475</v>
      </c>
      <c r="K46" s="35">
        <v>380</v>
      </c>
      <c r="L46" s="35" t="s">
        <v>57</v>
      </c>
      <c r="M46" s="35" t="s">
        <v>57</v>
      </c>
      <c r="N46" s="28">
        <v>444</v>
      </c>
      <c r="O46" s="28">
        <f t="shared" si="8"/>
        <v>355.20000000000005</v>
      </c>
      <c r="P46" s="28">
        <v>455</v>
      </c>
      <c r="Q46" s="28">
        <f>P46*0.8</f>
        <v>364</v>
      </c>
      <c r="R46" s="28">
        <v>463</v>
      </c>
      <c r="S46" s="28">
        <f>R46*0.8</f>
        <v>370.40000000000003</v>
      </c>
      <c r="T46" s="28">
        <v>475</v>
      </c>
      <c r="U46" s="28">
        <f t="shared" si="9"/>
        <v>380</v>
      </c>
    </row>
    <row r="47" spans="1:21" ht="13.5" customHeight="1" x14ac:dyDescent="0.15">
      <c r="A47" s="32" t="s">
        <v>28</v>
      </c>
      <c r="B47" s="30">
        <v>400</v>
      </c>
      <c r="C47" s="30">
        <f>B47*0.8</f>
        <v>320</v>
      </c>
      <c r="D47" s="30">
        <v>400</v>
      </c>
      <c r="E47" s="30">
        <f>D47*0.8</f>
        <v>320</v>
      </c>
      <c r="F47" s="30">
        <v>400</v>
      </c>
      <c r="G47" s="30">
        <f>F47*0.8</f>
        <v>320</v>
      </c>
      <c r="H47" s="30">
        <v>400</v>
      </c>
      <c r="I47" s="29">
        <f t="shared" si="1"/>
        <v>320</v>
      </c>
      <c r="J47" s="35">
        <v>500</v>
      </c>
      <c r="K47" s="35">
        <v>400</v>
      </c>
      <c r="L47" s="35" t="s">
        <v>57</v>
      </c>
      <c r="M47" s="35" t="s">
        <v>57</v>
      </c>
      <c r="N47" s="28">
        <v>454</v>
      </c>
      <c r="O47" s="28">
        <f t="shared" si="8"/>
        <v>363.20000000000005</v>
      </c>
      <c r="P47" s="28">
        <v>480</v>
      </c>
      <c r="Q47" s="28">
        <f>P47*0.8</f>
        <v>384</v>
      </c>
      <c r="R47" s="28">
        <v>500</v>
      </c>
      <c r="S47" s="28">
        <f>R47*0.8</f>
        <v>400</v>
      </c>
      <c r="T47" s="28">
        <v>500</v>
      </c>
      <c r="U47" s="28">
        <f t="shared" si="9"/>
        <v>400</v>
      </c>
    </row>
    <row r="48" spans="1:21" ht="13.5" customHeight="1" x14ac:dyDescent="0.15">
      <c r="A48" s="32"/>
      <c r="B48" s="30"/>
      <c r="C48" s="30"/>
      <c r="D48" s="30"/>
      <c r="E48" s="30"/>
      <c r="F48" s="30"/>
      <c r="G48" s="30"/>
      <c r="H48" s="30"/>
      <c r="I48" s="29"/>
      <c r="J48" s="35"/>
      <c r="K48" s="35"/>
      <c r="L48" s="35"/>
      <c r="M48" s="35"/>
      <c r="N48" s="28"/>
      <c r="O48" s="28"/>
      <c r="P48" s="28"/>
      <c r="Q48" s="28"/>
      <c r="R48" s="28"/>
      <c r="S48" s="28"/>
      <c r="T48" s="28"/>
      <c r="U48" s="28"/>
    </row>
    <row r="49" spans="1:21" ht="13.5" customHeight="1" x14ac:dyDescent="0.15">
      <c r="A49" s="32" t="s">
        <v>33</v>
      </c>
      <c r="B49" s="22">
        <v>450</v>
      </c>
      <c r="C49" s="30">
        <f t="shared" ref="C49:C54" si="10">B49*0.8</f>
        <v>360</v>
      </c>
      <c r="D49" s="22">
        <v>450</v>
      </c>
      <c r="E49" s="30">
        <f>D49*0.8</f>
        <v>360</v>
      </c>
      <c r="F49" s="22">
        <v>450</v>
      </c>
      <c r="G49" s="30">
        <f>F49*0.8</f>
        <v>360</v>
      </c>
      <c r="H49" s="30">
        <v>450</v>
      </c>
      <c r="I49" s="29">
        <f t="shared" si="1"/>
        <v>360</v>
      </c>
      <c r="J49" s="35">
        <v>500</v>
      </c>
      <c r="K49" s="35">
        <v>400</v>
      </c>
      <c r="L49" s="35">
        <v>500</v>
      </c>
      <c r="M49" s="35">
        <v>400</v>
      </c>
      <c r="N49" s="28">
        <v>525</v>
      </c>
      <c r="O49" s="28">
        <f t="shared" ref="O49:O54" si="11">N49*0.8</f>
        <v>420</v>
      </c>
      <c r="P49" s="28">
        <v>550</v>
      </c>
      <c r="Q49" s="28">
        <f t="shared" ref="Q49:Q54" si="12">P49*0.8</f>
        <v>440</v>
      </c>
      <c r="R49" s="28">
        <v>581</v>
      </c>
      <c r="S49" s="28">
        <f t="shared" ref="S49:S54" si="13">R49*0.8</f>
        <v>464.8</v>
      </c>
      <c r="T49" s="28">
        <v>594</v>
      </c>
      <c r="U49" s="123">
        <f t="shared" ref="U49:U54" si="14">T49*0.8</f>
        <v>475.20000000000005</v>
      </c>
    </row>
    <row r="50" spans="1:21" ht="13.5" customHeight="1" x14ac:dyDescent="0.15">
      <c r="A50" s="32" t="s">
        <v>34</v>
      </c>
      <c r="B50" s="30">
        <v>500</v>
      </c>
      <c r="C50" s="30">
        <f t="shared" si="10"/>
        <v>400</v>
      </c>
      <c r="D50" s="30">
        <v>500</v>
      </c>
      <c r="E50" s="30">
        <f>D50*0.8</f>
        <v>400</v>
      </c>
      <c r="F50" s="30">
        <v>500</v>
      </c>
      <c r="G50" s="30">
        <f>F50*0.8</f>
        <v>400</v>
      </c>
      <c r="H50" s="30">
        <v>500</v>
      </c>
      <c r="I50" s="29">
        <f t="shared" si="1"/>
        <v>400</v>
      </c>
      <c r="J50" s="35">
        <v>625</v>
      </c>
      <c r="K50" s="35">
        <v>500</v>
      </c>
      <c r="L50" s="35">
        <v>625</v>
      </c>
      <c r="M50" s="35">
        <v>500</v>
      </c>
      <c r="N50" s="28">
        <v>575</v>
      </c>
      <c r="O50" s="28">
        <f t="shared" si="11"/>
        <v>460</v>
      </c>
      <c r="P50" s="28">
        <v>594</v>
      </c>
      <c r="Q50" s="28">
        <f t="shared" si="12"/>
        <v>475.20000000000005</v>
      </c>
      <c r="R50" s="28">
        <v>625</v>
      </c>
      <c r="S50" s="28">
        <f t="shared" si="13"/>
        <v>500</v>
      </c>
      <c r="T50" s="28">
        <v>644</v>
      </c>
      <c r="U50" s="123">
        <f t="shared" si="14"/>
        <v>515.20000000000005</v>
      </c>
    </row>
    <row r="51" spans="1:21" ht="13.5" customHeight="1" x14ac:dyDescent="0.15">
      <c r="A51" s="32" t="s">
        <v>35</v>
      </c>
      <c r="B51" s="30">
        <v>563</v>
      </c>
      <c r="C51" s="30">
        <f t="shared" si="10"/>
        <v>450.40000000000003</v>
      </c>
      <c r="D51" s="30">
        <v>563</v>
      </c>
      <c r="E51" s="30">
        <v>450</v>
      </c>
      <c r="F51" s="30">
        <v>563</v>
      </c>
      <c r="G51" s="30">
        <v>450</v>
      </c>
      <c r="H51" s="30">
        <v>563</v>
      </c>
      <c r="I51" s="56">
        <f t="shared" si="1"/>
        <v>450.40000000000003</v>
      </c>
      <c r="J51" s="35">
        <v>650</v>
      </c>
      <c r="K51" s="35">
        <f>J51*0.8</f>
        <v>520</v>
      </c>
      <c r="L51" s="35">
        <v>650</v>
      </c>
      <c r="M51" s="35">
        <f>L51*0.8</f>
        <v>520</v>
      </c>
      <c r="N51" s="28">
        <v>625</v>
      </c>
      <c r="O51" s="28">
        <f t="shared" si="11"/>
        <v>500</v>
      </c>
      <c r="P51" s="28">
        <v>650</v>
      </c>
      <c r="Q51" s="28">
        <f t="shared" si="12"/>
        <v>520</v>
      </c>
      <c r="R51" s="28">
        <v>670</v>
      </c>
      <c r="S51" s="28">
        <f t="shared" si="13"/>
        <v>536</v>
      </c>
      <c r="T51" s="28">
        <v>700</v>
      </c>
      <c r="U51" s="28">
        <f t="shared" si="14"/>
        <v>560</v>
      </c>
    </row>
    <row r="52" spans="1:21" ht="13.5" customHeight="1" x14ac:dyDescent="0.15">
      <c r="A52" s="32" t="s">
        <v>36</v>
      </c>
      <c r="B52" s="22">
        <v>600</v>
      </c>
      <c r="C52" s="30">
        <f t="shared" si="10"/>
        <v>480</v>
      </c>
      <c r="D52" s="22">
        <v>600</v>
      </c>
      <c r="E52" s="30">
        <f>D52*0.8</f>
        <v>480</v>
      </c>
      <c r="F52" s="22">
        <v>600</v>
      </c>
      <c r="G52" s="30">
        <f>F52*0.8</f>
        <v>480</v>
      </c>
      <c r="H52" s="30">
        <v>600</v>
      </c>
      <c r="I52" s="29">
        <f t="shared" si="1"/>
        <v>480</v>
      </c>
      <c r="J52" s="122">
        <f>K52/0.8</f>
        <v>687.5</v>
      </c>
      <c r="K52" s="35">
        <v>550</v>
      </c>
      <c r="L52" s="35">
        <v>688</v>
      </c>
      <c r="M52" s="103">
        <f t="shared" ref="K52:M53" si="15">L52*0.8</f>
        <v>550.4</v>
      </c>
      <c r="N52" s="28">
        <v>681</v>
      </c>
      <c r="O52" s="28">
        <f t="shared" si="11"/>
        <v>544.80000000000007</v>
      </c>
      <c r="P52" s="28">
        <v>713</v>
      </c>
      <c r="Q52" s="28">
        <f t="shared" si="12"/>
        <v>570.4</v>
      </c>
      <c r="R52" s="28">
        <v>732</v>
      </c>
      <c r="S52" s="28">
        <f t="shared" si="13"/>
        <v>585.6</v>
      </c>
      <c r="T52" s="28">
        <v>750</v>
      </c>
      <c r="U52" s="28">
        <f t="shared" si="14"/>
        <v>600</v>
      </c>
    </row>
    <row r="53" spans="1:21" ht="13.5" customHeight="1" x14ac:dyDescent="0.15">
      <c r="A53" s="32" t="s">
        <v>47</v>
      </c>
      <c r="B53" s="30">
        <v>625</v>
      </c>
      <c r="C53" s="30">
        <f t="shared" si="10"/>
        <v>500</v>
      </c>
      <c r="D53" s="30">
        <v>625</v>
      </c>
      <c r="E53" s="30">
        <f>D53*0.8</f>
        <v>500</v>
      </c>
      <c r="F53" s="30">
        <v>625</v>
      </c>
      <c r="G53" s="30">
        <f>F53*0.8</f>
        <v>500</v>
      </c>
      <c r="H53" s="30">
        <v>625</v>
      </c>
      <c r="I53" s="29">
        <f t="shared" si="1"/>
        <v>500</v>
      </c>
      <c r="J53" s="104">
        <v>710</v>
      </c>
      <c r="K53" s="35">
        <f t="shared" si="15"/>
        <v>568</v>
      </c>
      <c r="L53" s="104">
        <v>710</v>
      </c>
      <c r="M53" s="35">
        <f t="shared" si="15"/>
        <v>568</v>
      </c>
      <c r="N53" s="28">
        <v>700</v>
      </c>
      <c r="O53" s="28">
        <f t="shared" si="11"/>
        <v>560</v>
      </c>
      <c r="P53" s="28">
        <v>735</v>
      </c>
      <c r="Q53" s="28">
        <f t="shared" si="12"/>
        <v>588</v>
      </c>
      <c r="R53" s="28">
        <v>755</v>
      </c>
      <c r="S53" s="28">
        <f t="shared" si="13"/>
        <v>604</v>
      </c>
      <c r="T53" s="28">
        <v>765</v>
      </c>
      <c r="U53" s="28">
        <f t="shared" si="14"/>
        <v>612</v>
      </c>
    </row>
    <row r="54" spans="1:21" x14ac:dyDescent="0.15">
      <c r="A54" s="32" t="s">
        <v>37</v>
      </c>
      <c r="B54" s="22">
        <v>670</v>
      </c>
      <c r="C54" s="30">
        <f t="shared" si="10"/>
        <v>536</v>
      </c>
      <c r="D54" s="22">
        <v>670</v>
      </c>
      <c r="E54" s="30">
        <f>D54*0.8</f>
        <v>536</v>
      </c>
      <c r="F54" s="22">
        <v>670</v>
      </c>
      <c r="G54" s="30">
        <f>F54*0.8</f>
        <v>536</v>
      </c>
      <c r="H54" s="30">
        <v>650</v>
      </c>
      <c r="I54" s="29">
        <f t="shared" si="1"/>
        <v>520</v>
      </c>
      <c r="J54" s="35">
        <v>800</v>
      </c>
      <c r="K54" s="35">
        <v>640</v>
      </c>
      <c r="L54" s="35">
        <v>800</v>
      </c>
      <c r="M54" s="35">
        <v>640</v>
      </c>
      <c r="N54" s="28">
        <v>738</v>
      </c>
      <c r="O54" s="28">
        <f t="shared" si="11"/>
        <v>590.4</v>
      </c>
      <c r="P54" s="28">
        <v>775</v>
      </c>
      <c r="Q54" s="28">
        <f t="shared" si="12"/>
        <v>620</v>
      </c>
      <c r="R54" s="28">
        <v>800</v>
      </c>
      <c r="S54" s="28">
        <f t="shared" si="13"/>
        <v>640</v>
      </c>
      <c r="T54" s="28">
        <v>825</v>
      </c>
      <c r="U54" s="28">
        <f t="shared" si="14"/>
        <v>660</v>
      </c>
    </row>
    <row r="55" spans="1:21" x14ac:dyDescent="0.15">
      <c r="A55" s="1"/>
      <c r="B55" s="9"/>
      <c r="C55" s="10"/>
      <c r="D55" s="11"/>
      <c r="E55" s="10"/>
      <c r="F55" s="11"/>
      <c r="G55" s="12"/>
      <c r="H55" s="10"/>
      <c r="I55" s="10"/>
      <c r="J55" s="13"/>
      <c r="K55" s="10"/>
      <c r="L55" s="10"/>
      <c r="M55" s="10"/>
      <c r="N55" s="14"/>
      <c r="O55" s="14"/>
      <c r="P55" s="14"/>
      <c r="Q55" s="14"/>
      <c r="R55" s="14"/>
      <c r="S55" s="14"/>
      <c r="T55" s="14"/>
      <c r="U55" s="15"/>
    </row>
    <row r="56" spans="1:21" x14ac:dyDescent="0.15">
      <c r="A56" s="24" t="s">
        <v>69</v>
      </c>
      <c r="B56" s="139" t="s">
        <v>66</v>
      </c>
      <c r="C56" s="140"/>
      <c r="D56" s="140"/>
      <c r="E56" s="140"/>
      <c r="F56" s="140"/>
      <c r="G56" s="140"/>
      <c r="H56" s="140"/>
      <c r="I56" s="141"/>
      <c r="J56" s="135" t="s">
        <v>67</v>
      </c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6"/>
    </row>
    <row r="57" spans="1:21" x14ac:dyDescent="0.15">
      <c r="A57" s="24" t="s">
        <v>58</v>
      </c>
      <c r="B57" s="128">
        <v>0.8</v>
      </c>
      <c r="C57" s="129"/>
      <c r="D57" s="128">
        <v>0.8</v>
      </c>
      <c r="E57" s="129"/>
      <c r="F57" s="128">
        <v>0.8</v>
      </c>
      <c r="G57" s="129"/>
      <c r="H57" s="128">
        <v>0.8</v>
      </c>
      <c r="I57" s="129"/>
      <c r="J57" s="130">
        <v>0.8</v>
      </c>
      <c r="K57" s="131"/>
      <c r="L57" s="20">
        <v>0.8</v>
      </c>
      <c r="M57" s="21"/>
      <c r="N57" s="20">
        <v>0.8</v>
      </c>
      <c r="O57" s="21"/>
      <c r="P57" s="130">
        <v>0.8</v>
      </c>
      <c r="Q57" s="131"/>
      <c r="R57" s="130">
        <v>0.8</v>
      </c>
      <c r="S57" s="131"/>
      <c r="T57" s="130">
        <v>0.8</v>
      </c>
      <c r="U57" s="131"/>
    </row>
    <row r="58" spans="1:21" x14ac:dyDescent="0.15">
      <c r="A58" s="24" t="s">
        <v>59</v>
      </c>
      <c r="B58" s="17"/>
      <c r="C58" s="18"/>
      <c r="D58" s="17"/>
      <c r="E58" s="18"/>
      <c r="F58" s="17"/>
      <c r="G58" s="18"/>
      <c r="H58" s="53"/>
      <c r="I58" s="53"/>
      <c r="J58" s="20"/>
      <c r="K58" s="21"/>
      <c r="L58" s="20"/>
      <c r="M58" s="21"/>
      <c r="N58" s="20"/>
      <c r="O58" s="21"/>
      <c r="P58" s="20"/>
      <c r="Q58" s="21"/>
      <c r="R58" s="20"/>
      <c r="S58" s="21"/>
      <c r="T58" s="20"/>
      <c r="U58" s="21"/>
    </row>
    <row r="59" spans="1:21" x14ac:dyDescent="0.15">
      <c r="A59" s="24" t="s">
        <v>104</v>
      </c>
      <c r="B59" s="128">
        <v>380</v>
      </c>
      <c r="C59" s="129"/>
      <c r="D59" s="137">
        <v>400</v>
      </c>
      <c r="E59" s="137"/>
      <c r="F59" s="128">
        <v>415</v>
      </c>
      <c r="G59" s="129"/>
      <c r="H59" s="128">
        <v>440</v>
      </c>
      <c r="I59" s="129"/>
      <c r="J59" s="130" t="s">
        <v>48</v>
      </c>
      <c r="K59" s="131"/>
      <c r="L59" s="20"/>
      <c r="M59" s="21"/>
      <c r="N59" s="54">
        <v>416</v>
      </c>
      <c r="O59" s="52"/>
      <c r="P59" s="130">
        <v>440</v>
      </c>
      <c r="Q59" s="131"/>
      <c r="R59" s="130">
        <v>460</v>
      </c>
      <c r="S59" s="131"/>
      <c r="T59" s="130">
        <v>480</v>
      </c>
      <c r="U59" s="131"/>
    </row>
    <row r="60" spans="1:21" x14ac:dyDescent="0.15">
      <c r="A60" s="24" t="s">
        <v>105</v>
      </c>
      <c r="B60" s="128">
        <v>220</v>
      </c>
      <c r="C60" s="129"/>
      <c r="D60" s="128">
        <v>230</v>
      </c>
      <c r="E60" s="129"/>
      <c r="F60" s="128">
        <v>240</v>
      </c>
      <c r="G60" s="129"/>
      <c r="H60" s="128">
        <v>254</v>
      </c>
      <c r="I60" s="129"/>
      <c r="J60" s="130" t="s">
        <v>50</v>
      </c>
      <c r="K60" s="131"/>
      <c r="L60" s="20"/>
      <c r="M60" s="21"/>
      <c r="N60" s="54">
        <v>240</v>
      </c>
      <c r="O60" s="52"/>
      <c r="P60" s="126">
        <v>254</v>
      </c>
      <c r="Q60" s="127"/>
      <c r="R60" s="126">
        <v>266</v>
      </c>
      <c r="S60" s="127"/>
      <c r="T60" s="126">
        <v>277</v>
      </c>
      <c r="U60" s="127"/>
    </row>
    <row r="61" spans="1:21" x14ac:dyDescent="0.15">
      <c r="A61" s="24" t="s">
        <v>106</v>
      </c>
      <c r="B61" s="128">
        <v>380</v>
      </c>
      <c r="C61" s="129"/>
      <c r="D61" s="137">
        <v>400</v>
      </c>
      <c r="E61" s="137"/>
      <c r="F61" s="128">
        <v>415</v>
      </c>
      <c r="G61" s="129"/>
      <c r="H61" s="128">
        <v>440</v>
      </c>
      <c r="I61" s="129"/>
      <c r="J61" s="135" t="s">
        <v>53</v>
      </c>
      <c r="K61" s="136"/>
      <c r="L61" s="130" t="s">
        <v>70</v>
      </c>
      <c r="M61" s="131"/>
      <c r="N61" s="54">
        <v>416</v>
      </c>
      <c r="O61" s="52"/>
      <c r="P61" s="130">
        <v>440</v>
      </c>
      <c r="Q61" s="131"/>
      <c r="R61" s="130">
        <v>460</v>
      </c>
      <c r="S61" s="131"/>
      <c r="T61" s="130">
        <v>480</v>
      </c>
      <c r="U61" s="131"/>
    </row>
    <row r="62" spans="1:21" ht="17.25" customHeight="1" x14ac:dyDescent="0.15">
      <c r="A62" s="24" t="s">
        <v>107</v>
      </c>
      <c r="B62" s="128">
        <v>190</v>
      </c>
      <c r="C62" s="129"/>
      <c r="D62" s="128">
        <v>200</v>
      </c>
      <c r="E62" s="129"/>
      <c r="F62" s="128">
        <v>208</v>
      </c>
      <c r="G62" s="129"/>
      <c r="H62" s="128">
        <v>220</v>
      </c>
      <c r="I62" s="129"/>
      <c r="J62" s="130" t="s">
        <v>53</v>
      </c>
      <c r="K62" s="131"/>
      <c r="L62" s="130" t="s">
        <v>71</v>
      </c>
      <c r="M62" s="131"/>
      <c r="N62" s="126">
        <v>208</v>
      </c>
      <c r="O62" s="127"/>
      <c r="P62" s="126">
        <v>220</v>
      </c>
      <c r="Q62" s="127"/>
      <c r="R62" s="126">
        <v>230</v>
      </c>
      <c r="S62" s="127"/>
      <c r="T62" s="126">
        <v>240</v>
      </c>
      <c r="U62" s="127"/>
    </row>
    <row r="63" spans="1:21" x14ac:dyDescent="0.15">
      <c r="A63" s="25" t="s">
        <v>62</v>
      </c>
      <c r="B63" s="128">
        <v>220</v>
      </c>
      <c r="C63" s="129"/>
      <c r="D63" s="128">
        <v>230</v>
      </c>
      <c r="E63" s="129"/>
      <c r="F63" s="128">
        <v>240</v>
      </c>
      <c r="G63" s="129"/>
      <c r="H63" s="128">
        <v>254</v>
      </c>
      <c r="I63" s="129"/>
      <c r="J63" s="135" t="s">
        <v>53</v>
      </c>
      <c r="K63" s="136"/>
      <c r="L63" s="130" t="s">
        <v>72</v>
      </c>
      <c r="M63" s="131"/>
      <c r="N63" s="54">
        <v>240</v>
      </c>
      <c r="O63" s="52"/>
      <c r="P63" s="126">
        <v>254</v>
      </c>
      <c r="Q63" s="127"/>
      <c r="R63" s="126">
        <v>266</v>
      </c>
      <c r="S63" s="127"/>
      <c r="T63" s="126">
        <v>277</v>
      </c>
      <c r="U63" s="127"/>
    </row>
    <row r="64" spans="1:21" x14ac:dyDescent="0.15">
      <c r="A64" s="25" t="s">
        <v>63</v>
      </c>
      <c r="B64" s="128" t="s">
        <v>55</v>
      </c>
      <c r="C64" s="129"/>
      <c r="D64" s="128" t="s">
        <v>55</v>
      </c>
      <c r="E64" s="129"/>
      <c r="F64" s="128" t="s">
        <v>55</v>
      </c>
      <c r="G64" s="129"/>
      <c r="H64" s="128" t="s">
        <v>55</v>
      </c>
      <c r="I64" s="129"/>
      <c r="J64" s="130">
        <v>13</v>
      </c>
      <c r="K64" s="131"/>
      <c r="L64" s="20">
        <v>14</v>
      </c>
      <c r="M64" s="21"/>
      <c r="N64" s="54" t="s">
        <v>55</v>
      </c>
      <c r="O64" s="52"/>
      <c r="P64" s="126" t="s">
        <v>55</v>
      </c>
      <c r="Q64" s="127"/>
      <c r="R64" s="126" t="s">
        <v>55</v>
      </c>
      <c r="S64" s="127"/>
      <c r="T64" s="126" t="s">
        <v>55</v>
      </c>
      <c r="U64" s="127"/>
    </row>
    <row r="65" spans="1:21" x14ac:dyDescent="0.15">
      <c r="A65" s="26" t="s">
        <v>64</v>
      </c>
      <c r="B65" s="19" t="s">
        <v>0</v>
      </c>
      <c r="C65" s="19" t="s">
        <v>1</v>
      </c>
      <c r="D65" s="19" t="s">
        <v>0</v>
      </c>
      <c r="E65" s="19" t="s">
        <v>1</v>
      </c>
      <c r="F65" s="19" t="s">
        <v>0</v>
      </c>
      <c r="G65" s="19" t="s">
        <v>1</v>
      </c>
      <c r="H65" s="19" t="s">
        <v>0</v>
      </c>
      <c r="I65" s="19" t="s">
        <v>1</v>
      </c>
      <c r="J65" s="22" t="s">
        <v>73</v>
      </c>
      <c r="K65" s="23" t="s">
        <v>74</v>
      </c>
      <c r="L65" s="22" t="s">
        <v>73</v>
      </c>
      <c r="M65" s="23" t="s">
        <v>74</v>
      </c>
      <c r="N65" s="23" t="s">
        <v>0</v>
      </c>
      <c r="O65" s="23" t="s">
        <v>1</v>
      </c>
      <c r="P65" s="23" t="s">
        <v>0</v>
      </c>
      <c r="Q65" s="23" t="s">
        <v>1</v>
      </c>
      <c r="R65" s="23" t="s">
        <v>0</v>
      </c>
      <c r="S65" s="23" t="s">
        <v>1</v>
      </c>
      <c r="T65" s="23" t="s">
        <v>0</v>
      </c>
      <c r="U65" s="23" t="s">
        <v>1</v>
      </c>
    </row>
    <row r="66" spans="1:21" x14ac:dyDescent="0.15">
      <c r="A66" s="32" t="s">
        <v>39</v>
      </c>
      <c r="B66" s="22">
        <v>710</v>
      </c>
      <c r="C66" s="30">
        <f t="shared" ref="C66:C71" si="16">B66*0.8</f>
        <v>568</v>
      </c>
      <c r="D66" s="22">
        <v>750</v>
      </c>
      <c r="E66" s="30">
        <f t="shared" ref="E66:E71" si="17">D66*0.8</f>
        <v>600</v>
      </c>
      <c r="F66" s="22">
        <v>750</v>
      </c>
      <c r="G66" s="30">
        <f t="shared" ref="G66:G71" si="18">F66*0.8</f>
        <v>600</v>
      </c>
      <c r="H66" s="30">
        <v>680</v>
      </c>
      <c r="I66" s="30">
        <f t="shared" ref="I66:I71" si="19">H66*0.8</f>
        <v>544</v>
      </c>
      <c r="J66" s="35">
        <v>938</v>
      </c>
      <c r="K66" s="35">
        <v>750</v>
      </c>
      <c r="L66" s="35">
        <v>938</v>
      </c>
      <c r="M66" s="35">
        <v>750</v>
      </c>
      <c r="N66" s="28">
        <v>810</v>
      </c>
      <c r="O66" s="28">
        <f t="shared" ref="O66:O71" si="20">N66*0.8</f>
        <v>648</v>
      </c>
      <c r="P66" s="28">
        <v>855</v>
      </c>
      <c r="Q66" s="28">
        <f t="shared" ref="Q66:Q71" si="21">P66*0.8</f>
        <v>684</v>
      </c>
      <c r="R66" s="28">
        <v>895</v>
      </c>
      <c r="S66" s="28">
        <f t="shared" ref="S66:S71" si="22">R66*0.8</f>
        <v>716</v>
      </c>
      <c r="T66" s="28">
        <v>938</v>
      </c>
      <c r="U66" s="123">
        <f t="shared" ref="U66:U71" si="23">T66*0.8</f>
        <v>750.40000000000009</v>
      </c>
    </row>
    <row r="67" spans="1:21" x14ac:dyDescent="0.15">
      <c r="A67" s="33" t="s">
        <v>54</v>
      </c>
      <c r="B67" s="22">
        <v>760</v>
      </c>
      <c r="C67" s="30">
        <f t="shared" si="16"/>
        <v>608</v>
      </c>
      <c r="D67" s="22">
        <v>800</v>
      </c>
      <c r="E67" s="30">
        <f t="shared" si="17"/>
        <v>640</v>
      </c>
      <c r="F67" s="22">
        <v>800</v>
      </c>
      <c r="G67" s="30">
        <f t="shared" si="18"/>
        <v>640</v>
      </c>
      <c r="H67" s="30">
        <v>725</v>
      </c>
      <c r="I67" s="30">
        <f t="shared" si="19"/>
        <v>580</v>
      </c>
      <c r="J67" s="35" t="s">
        <v>53</v>
      </c>
      <c r="K67" s="35" t="s">
        <v>53</v>
      </c>
      <c r="L67" s="35" t="s">
        <v>53</v>
      </c>
      <c r="M67" s="35" t="s">
        <v>53</v>
      </c>
      <c r="N67" s="28">
        <v>865</v>
      </c>
      <c r="O67" s="28">
        <f t="shared" si="20"/>
        <v>692</v>
      </c>
      <c r="P67" s="28">
        <v>916</v>
      </c>
      <c r="Q67" s="28">
        <f t="shared" si="21"/>
        <v>732.80000000000007</v>
      </c>
      <c r="R67" s="28">
        <v>958</v>
      </c>
      <c r="S67" s="28">
        <f t="shared" si="22"/>
        <v>766.40000000000009</v>
      </c>
      <c r="T67" s="28">
        <v>1000</v>
      </c>
      <c r="U67" s="123">
        <f t="shared" si="23"/>
        <v>800</v>
      </c>
    </row>
    <row r="68" spans="1:21" x14ac:dyDescent="0.15">
      <c r="A68" s="32" t="s">
        <v>40</v>
      </c>
      <c r="B68" s="22">
        <v>865</v>
      </c>
      <c r="C68" s="30">
        <f t="shared" si="16"/>
        <v>692</v>
      </c>
      <c r="D68" s="22">
        <v>910</v>
      </c>
      <c r="E68" s="30">
        <f t="shared" si="17"/>
        <v>728</v>
      </c>
      <c r="F68" s="22">
        <v>910</v>
      </c>
      <c r="G68" s="30">
        <f t="shared" si="18"/>
        <v>728</v>
      </c>
      <c r="H68" s="30">
        <v>825</v>
      </c>
      <c r="I68" s="30">
        <f t="shared" si="19"/>
        <v>660</v>
      </c>
      <c r="J68" s="35">
        <v>1063</v>
      </c>
      <c r="K68" s="35">
        <v>850</v>
      </c>
      <c r="L68" s="35">
        <v>1063</v>
      </c>
      <c r="M68" s="35">
        <v>850</v>
      </c>
      <c r="N68" s="28">
        <v>986</v>
      </c>
      <c r="O68" s="28">
        <f t="shared" si="20"/>
        <v>788.80000000000007</v>
      </c>
      <c r="P68" s="28">
        <v>1034</v>
      </c>
      <c r="Q68" s="28">
        <f t="shared" si="21"/>
        <v>827.2</v>
      </c>
      <c r="R68" s="28">
        <v>1090</v>
      </c>
      <c r="S68" s="28">
        <f t="shared" si="22"/>
        <v>872</v>
      </c>
      <c r="T68" s="28">
        <v>1138</v>
      </c>
      <c r="U68" s="123">
        <f t="shared" si="23"/>
        <v>910.40000000000009</v>
      </c>
    </row>
    <row r="69" spans="1:21" x14ac:dyDescent="0.15">
      <c r="A69" s="32" t="s">
        <v>41</v>
      </c>
      <c r="B69" s="22">
        <v>950</v>
      </c>
      <c r="C69" s="30">
        <f t="shared" si="16"/>
        <v>760</v>
      </c>
      <c r="D69" s="22">
        <v>1000</v>
      </c>
      <c r="E69" s="30">
        <f t="shared" si="17"/>
        <v>800</v>
      </c>
      <c r="F69" s="22">
        <v>1000</v>
      </c>
      <c r="G69" s="30">
        <f t="shared" si="18"/>
        <v>800</v>
      </c>
      <c r="H69" s="30">
        <v>910</v>
      </c>
      <c r="I69" s="30">
        <f t="shared" si="19"/>
        <v>728</v>
      </c>
      <c r="J69" s="35">
        <v>1250</v>
      </c>
      <c r="K69" s="35">
        <f>J69*0.8</f>
        <v>1000</v>
      </c>
      <c r="L69" s="35">
        <v>1250</v>
      </c>
      <c r="M69" s="35">
        <v>1000</v>
      </c>
      <c r="N69" s="28">
        <v>1083</v>
      </c>
      <c r="O69" s="28">
        <f t="shared" si="20"/>
        <v>866.40000000000009</v>
      </c>
      <c r="P69" s="28">
        <v>1145</v>
      </c>
      <c r="Q69" s="28">
        <f t="shared" si="21"/>
        <v>916</v>
      </c>
      <c r="R69" s="28">
        <v>1197</v>
      </c>
      <c r="S69" s="28">
        <f t="shared" si="22"/>
        <v>957.6</v>
      </c>
      <c r="T69" s="28">
        <v>1250</v>
      </c>
      <c r="U69" s="123">
        <f t="shared" si="23"/>
        <v>1000</v>
      </c>
    </row>
    <row r="70" spans="1:21" x14ac:dyDescent="0.15">
      <c r="A70" s="32" t="s">
        <v>42</v>
      </c>
      <c r="B70" s="22">
        <v>1090</v>
      </c>
      <c r="C70" s="30">
        <f t="shared" si="16"/>
        <v>872</v>
      </c>
      <c r="D70" s="22">
        <v>1130</v>
      </c>
      <c r="E70" s="30">
        <f t="shared" si="17"/>
        <v>904</v>
      </c>
      <c r="F70" s="22">
        <v>1130</v>
      </c>
      <c r="G70" s="30">
        <f t="shared" si="18"/>
        <v>904</v>
      </c>
      <c r="H70" s="30">
        <v>1025</v>
      </c>
      <c r="I70" s="30">
        <f t="shared" si="19"/>
        <v>820</v>
      </c>
      <c r="J70" s="35">
        <v>1320</v>
      </c>
      <c r="K70" s="35">
        <f>J70*0.8</f>
        <v>1056</v>
      </c>
      <c r="L70" s="35">
        <v>1320</v>
      </c>
      <c r="M70" s="35">
        <f>L70*0.8</f>
        <v>1056</v>
      </c>
      <c r="N70" s="28">
        <v>1204</v>
      </c>
      <c r="O70" s="28">
        <f t="shared" si="20"/>
        <v>963.2</v>
      </c>
      <c r="P70" s="28">
        <v>1274</v>
      </c>
      <c r="Q70" s="28">
        <f t="shared" si="21"/>
        <v>1019.2</v>
      </c>
      <c r="R70" s="28">
        <v>1332</v>
      </c>
      <c r="S70" s="28">
        <f t="shared" si="22"/>
        <v>1065.6000000000001</v>
      </c>
      <c r="T70" s="28">
        <v>1390</v>
      </c>
      <c r="U70" s="123">
        <f t="shared" si="23"/>
        <v>1112</v>
      </c>
    </row>
    <row r="71" spans="1:21" ht="15" customHeight="1" x14ac:dyDescent="0.15">
      <c r="A71" s="32" t="s">
        <v>12</v>
      </c>
      <c r="B71" s="22">
        <v>1190</v>
      </c>
      <c r="C71" s="30">
        <f t="shared" si="16"/>
        <v>952</v>
      </c>
      <c r="D71" s="22">
        <v>1250</v>
      </c>
      <c r="E71" s="30">
        <f t="shared" si="17"/>
        <v>1000</v>
      </c>
      <c r="F71" s="22">
        <v>1250</v>
      </c>
      <c r="G71" s="30">
        <f t="shared" si="18"/>
        <v>1000</v>
      </c>
      <c r="H71" s="30">
        <v>1135</v>
      </c>
      <c r="I71" s="30">
        <f t="shared" si="19"/>
        <v>908</v>
      </c>
      <c r="J71" s="35">
        <v>1500</v>
      </c>
      <c r="K71" s="35">
        <f>J71*0.8</f>
        <v>1200</v>
      </c>
      <c r="L71" s="35" t="s">
        <v>53</v>
      </c>
      <c r="M71" s="35" t="s">
        <v>53</v>
      </c>
      <c r="N71" s="28">
        <v>1310</v>
      </c>
      <c r="O71" s="28">
        <f t="shared" si="20"/>
        <v>1048</v>
      </c>
      <c r="P71" s="28">
        <v>1386</v>
      </c>
      <c r="Q71" s="28">
        <f t="shared" si="21"/>
        <v>1108.8</v>
      </c>
      <c r="R71" s="28">
        <v>1449</v>
      </c>
      <c r="S71" s="28">
        <f t="shared" si="22"/>
        <v>1159.2</v>
      </c>
      <c r="T71" s="28">
        <v>1513</v>
      </c>
      <c r="U71" s="123">
        <f t="shared" si="23"/>
        <v>1210.4000000000001</v>
      </c>
    </row>
    <row r="72" spans="1:21" ht="19.5" customHeight="1" x14ac:dyDescent="0.15">
      <c r="A72" s="6"/>
      <c r="B72" s="6"/>
      <c r="C72" s="5"/>
      <c r="D72" s="6"/>
      <c r="E72" s="5"/>
      <c r="F72" s="6"/>
      <c r="G72" s="5"/>
      <c r="H72" s="5"/>
      <c r="I72" s="5"/>
      <c r="J72" s="5"/>
      <c r="K72" s="5"/>
      <c r="L72" s="5"/>
      <c r="M72" s="5"/>
      <c r="N72" s="4"/>
      <c r="O72" s="4"/>
      <c r="P72" s="4"/>
      <c r="Q72" s="4"/>
      <c r="R72" s="4"/>
      <c r="S72" s="4"/>
      <c r="T72" s="4"/>
      <c r="U72" s="4"/>
    </row>
    <row r="73" spans="1:21" ht="15.75" customHeight="1" x14ac:dyDescent="0.15">
      <c r="A73" s="32" t="s">
        <v>117</v>
      </c>
      <c r="B73" s="23">
        <v>1360</v>
      </c>
      <c r="C73" s="39">
        <f>B73*0.8</f>
        <v>1088</v>
      </c>
      <c r="D73" s="23">
        <v>1400</v>
      </c>
      <c r="E73" s="39">
        <f>D73*0.8</f>
        <v>1120</v>
      </c>
      <c r="F73" s="23">
        <v>1400</v>
      </c>
      <c r="G73" s="39">
        <f t="shared" ref="G73:G79" si="24">F73*0.8</f>
        <v>1120</v>
      </c>
      <c r="H73" s="39">
        <v>1375</v>
      </c>
      <c r="I73" s="39">
        <f t="shared" ref="I73:I79" si="25">H73*0.8</f>
        <v>1100</v>
      </c>
      <c r="J73" s="104">
        <v>1560</v>
      </c>
      <c r="K73" s="104">
        <f>0.8*J73</f>
        <v>1248</v>
      </c>
      <c r="L73" s="49" t="s">
        <v>53</v>
      </c>
      <c r="M73" s="49" t="s">
        <v>53</v>
      </c>
      <c r="N73" s="73">
        <v>1525</v>
      </c>
      <c r="O73" s="73">
        <f>N73*0.8</f>
        <v>1220</v>
      </c>
      <c r="P73" s="73">
        <v>1625</v>
      </c>
      <c r="Q73" s="73">
        <f>P73*0.8</f>
        <v>1300</v>
      </c>
      <c r="R73" s="73">
        <v>1655</v>
      </c>
      <c r="S73" s="73">
        <f t="shared" ref="S73:S79" si="26">R73*0.8</f>
        <v>1324</v>
      </c>
      <c r="T73" s="73">
        <v>1690</v>
      </c>
      <c r="U73" s="73">
        <f t="shared" ref="U73:U79" si="27">T73*0.8</f>
        <v>1352</v>
      </c>
    </row>
    <row r="74" spans="1:21" ht="15.75" customHeight="1" x14ac:dyDescent="0.15">
      <c r="A74" s="32" t="s">
        <v>118</v>
      </c>
      <c r="B74" s="23">
        <v>1505</v>
      </c>
      <c r="C74" s="39">
        <f t="shared" ref="C74:E79" si="28">B74*0.8</f>
        <v>1204</v>
      </c>
      <c r="D74" s="23">
        <v>1550</v>
      </c>
      <c r="E74" s="39">
        <f t="shared" si="28"/>
        <v>1240</v>
      </c>
      <c r="F74" s="23">
        <v>1550</v>
      </c>
      <c r="G74" s="39">
        <f t="shared" si="24"/>
        <v>1240</v>
      </c>
      <c r="H74" s="39">
        <v>1520</v>
      </c>
      <c r="I74" s="39">
        <f t="shared" si="25"/>
        <v>1216</v>
      </c>
      <c r="J74" s="49">
        <v>1770</v>
      </c>
      <c r="K74" s="49">
        <f>J74*0.8</f>
        <v>1416</v>
      </c>
      <c r="L74" s="49" t="s">
        <v>53</v>
      </c>
      <c r="M74" s="49" t="s">
        <v>53</v>
      </c>
      <c r="N74" s="73">
        <v>1705</v>
      </c>
      <c r="O74" s="73">
        <f t="shared" ref="O74:Q79" si="29">N74*0.8</f>
        <v>1364</v>
      </c>
      <c r="P74" s="73">
        <v>1815</v>
      </c>
      <c r="Q74" s="73">
        <f t="shared" si="29"/>
        <v>1452</v>
      </c>
      <c r="R74" s="73">
        <v>1855</v>
      </c>
      <c r="S74" s="73">
        <f t="shared" si="26"/>
        <v>1484</v>
      </c>
      <c r="T74" s="73">
        <v>1890</v>
      </c>
      <c r="U74" s="73">
        <f t="shared" si="27"/>
        <v>1512</v>
      </c>
    </row>
    <row r="75" spans="1:21" ht="15.75" customHeight="1" x14ac:dyDescent="0.15">
      <c r="A75" s="32" t="s">
        <v>119</v>
      </c>
      <c r="B75" s="23">
        <v>1615</v>
      </c>
      <c r="C75" s="39">
        <f t="shared" si="28"/>
        <v>1292</v>
      </c>
      <c r="D75" s="23">
        <v>1650</v>
      </c>
      <c r="E75" s="39">
        <f t="shared" si="28"/>
        <v>1320</v>
      </c>
      <c r="F75" s="23">
        <v>1650</v>
      </c>
      <c r="G75" s="39">
        <f t="shared" si="24"/>
        <v>1320</v>
      </c>
      <c r="H75" s="39">
        <v>1620</v>
      </c>
      <c r="I75" s="39">
        <f t="shared" si="25"/>
        <v>1296</v>
      </c>
      <c r="J75" s="49">
        <v>1915</v>
      </c>
      <c r="K75" s="49">
        <f>J75*0.8</f>
        <v>1532</v>
      </c>
      <c r="L75" s="49" t="s">
        <v>53</v>
      </c>
      <c r="M75" s="49" t="s">
        <v>53</v>
      </c>
      <c r="N75" s="73">
        <v>1815</v>
      </c>
      <c r="O75" s="73">
        <f t="shared" si="29"/>
        <v>1452</v>
      </c>
      <c r="P75" s="73">
        <v>1935</v>
      </c>
      <c r="Q75" s="73">
        <f t="shared" si="29"/>
        <v>1548</v>
      </c>
      <c r="R75" s="73">
        <v>1975</v>
      </c>
      <c r="S75" s="73">
        <f t="shared" si="26"/>
        <v>1580</v>
      </c>
      <c r="T75" s="73">
        <v>2015</v>
      </c>
      <c r="U75" s="73">
        <f t="shared" si="27"/>
        <v>1612</v>
      </c>
    </row>
    <row r="76" spans="1:21" ht="15.75" customHeight="1" x14ac:dyDescent="0.15">
      <c r="A76" s="32" t="s">
        <v>120</v>
      </c>
      <c r="B76" s="23">
        <v>1845</v>
      </c>
      <c r="C76" s="39">
        <f t="shared" si="28"/>
        <v>1476</v>
      </c>
      <c r="D76" s="23">
        <v>1900</v>
      </c>
      <c r="E76" s="39">
        <f t="shared" si="28"/>
        <v>1520</v>
      </c>
      <c r="F76" s="23">
        <v>1900</v>
      </c>
      <c r="G76" s="39">
        <f t="shared" si="24"/>
        <v>1520</v>
      </c>
      <c r="H76" s="39">
        <v>1865</v>
      </c>
      <c r="I76" s="39">
        <f t="shared" si="25"/>
        <v>1492</v>
      </c>
      <c r="J76" s="49" t="s">
        <v>53</v>
      </c>
      <c r="K76" s="49" t="s">
        <v>53</v>
      </c>
      <c r="L76" s="49" t="s">
        <v>53</v>
      </c>
      <c r="M76" s="49" t="s">
        <v>53</v>
      </c>
      <c r="N76" s="73">
        <v>2070</v>
      </c>
      <c r="O76" s="73">
        <f t="shared" si="29"/>
        <v>1656</v>
      </c>
      <c r="P76" s="73">
        <v>2210</v>
      </c>
      <c r="Q76" s="73">
        <f t="shared" si="29"/>
        <v>1768</v>
      </c>
      <c r="R76" s="73">
        <v>2250</v>
      </c>
      <c r="S76" s="73">
        <f t="shared" si="26"/>
        <v>1800</v>
      </c>
      <c r="T76" s="73">
        <v>2300</v>
      </c>
      <c r="U76" s="73">
        <f t="shared" si="27"/>
        <v>1840</v>
      </c>
    </row>
    <row r="77" spans="1:21" ht="15.75" customHeight="1" x14ac:dyDescent="0.15">
      <c r="A77" s="32" t="s">
        <v>121</v>
      </c>
      <c r="B77" s="23">
        <v>2020</v>
      </c>
      <c r="C77" s="39">
        <f t="shared" si="28"/>
        <v>1616</v>
      </c>
      <c r="D77" s="23">
        <v>2080</v>
      </c>
      <c r="E77" s="39">
        <f t="shared" si="28"/>
        <v>1664</v>
      </c>
      <c r="F77" s="23">
        <v>2080</v>
      </c>
      <c r="G77" s="39">
        <f t="shared" si="24"/>
        <v>1664</v>
      </c>
      <c r="H77" s="39">
        <v>2040</v>
      </c>
      <c r="I77" s="39">
        <f t="shared" si="25"/>
        <v>1632</v>
      </c>
      <c r="J77" s="49">
        <v>2500</v>
      </c>
      <c r="K77" s="49">
        <f>J77*0.8</f>
        <v>2000</v>
      </c>
      <c r="L77" s="49" t="s">
        <v>53</v>
      </c>
      <c r="M77" s="49" t="s">
        <v>53</v>
      </c>
      <c r="N77" s="73">
        <v>2345</v>
      </c>
      <c r="O77" s="73">
        <f t="shared" si="29"/>
        <v>1876</v>
      </c>
      <c r="P77" s="73">
        <v>2500</v>
      </c>
      <c r="Q77" s="73">
        <f t="shared" si="29"/>
        <v>2000</v>
      </c>
      <c r="R77" s="73">
        <v>2550</v>
      </c>
      <c r="S77" s="73">
        <f t="shared" si="26"/>
        <v>2040</v>
      </c>
      <c r="T77" s="73">
        <v>2600</v>
      </c>
      <c r="U77" s="73">
        <f t="shared" si="27"/>
        <v>2080</v>
      </c>
    </row>
    <row r="78" spans="1:21" ht="15.75" customHeight="1" x14ac:dyDescent="0.15">
      <c r="A78" s="32" t="s">
        <v>122</v>
      </c>
      <c r="B78" s="23">
        <v>2135</v>
      </c>
      <c r="C78" s="39">
        <f t="shared" si="28"/>
        <v>1708</v>
      </c>
      <c r="D78" s="23">
        <v>2200</v>
      </c>
      <c r="E78" s="39">
        <f t="shared" si="28"/>
        <v>1760</v>
      </c>
      <c r="F78" s="23">
        <v>2200</v>
      </c>
      <c r="G78" s="39">
        <f t="shared" si="24"/>
        <v>1760</v>
      </c>
      <c r="H78" s="39">
        <v>2160</v>
      </c>
      <c r="I78" s="39">
        <f t="shared" si="25"/>
        <v>1728</v>
      </c>
      <c r="J78" s="49" t="s">
        <v>53</v>
      </c>
      <c r="K78" s="49" t="s">
        <v>53</v>
      </c>
      <c r="L78" s="49" t="s">
        <v>53</v>
      </c>
      <c r="M78" s="49" t="s">
        <v>53</v>
      </c>
      <c r="N78" s="73">
        <v>2420</v>
      </c>
      <c r="O78" s="73">
        <f t="shared" si="29"/>
        <v>1936</v>
      </c>
      <c r="P78" s="73">
        <v>2535</v>
      </c>
      <c r="Q78" s="73">
        <f t="shared" si="29"/>
        <v>2028</v>
      </c>
      <c r="R78" s="73">
        <v>2625</v>
      </c>
      <c r="S78" s="73">
        <f t="shared" si="26"/>
        <v>2100</v>
      </c>
      <c r="T78" s="73">
        <v>2750</v>
      </c>
      <c r="U78" s="73">
        <f t="shared" si="27"/>
        <v>2200</v>
      </c>
    </row>
    <row r="79" spans="1:21" ht="15.75" customHeight="1" x14ac:dyDescent="0.15">
      <c r="A79" s="32" t="s">
        <v>123</v>
      </c>
      <c r="B79" s="23">
        <v>2270</v>
      </c>
      <c r="C79" s="39">
        <f t="shared" si="28"/>
        <v>1816</v>
      </c>
      <c r="D79" s="23">
        <v>2340</v>
      </c>
      <c r="E79" s="39">
        <f t="shared" si="28"/>
        <v>1872</v>
      </c>
      <c r="F79" s="23">
        <v>2340</v>
      </c>
      <c r="G79" s="39">
        <f t="shared" si="24"/>
        <v>1872</v>
      </c>
      <c r="H79" s="39">
        <v>2300</v>
      </c>
      <c r="I79" s="39">
        <f t="shared" si="25"/>
        <v>1840</v>
      </c>
      <c r="J79" s="49" t="s">
        <v>53</v>
      </c>
      <c r="K79" s="49" t="s">
        <v>53</v>
      </c>
      <c r="L79" s="49" t="s">
        <v>53</v>
      </c>
      <c r="M79" s="49" t="s">
        <v>53</v>
      </c>
      <c r="N79" s="73">
        <v>2525</v>
      </c>
      <c r="O79" s="73">
        <f t="shared" si="29"/>
        <v>2020</v>
      </c>
      <c r="P79" s="73">
        <v>2640</v>
      </c>
      <c r="Q79" s="73">
        <f t="shared" si="29"/>
        <v>2112</v>
      </c>
      <c r="R79" s="73">
        <v>2725</v>
      </c>
      <c r="S79" s="73">
        <f t="shared" si="26"/>
        <v>2180</v>
      </c>
      <c r="T79" s="73">
        <v>2830</v>
      </c>
      <c r="U79" s="73">
        <f t="shared" si="27"/>
        <v>2264</v>
      </c>
    </row>
    <row r="80" spans="1:21" ht="19.5" customHeight="1" x14ac:dyDescent="0.15">
      <c r="A80" s="69"/>
      <c r="B80" s="70"/>
      <c r="C80" s="71"/>
      <c r="D80" s="70"/>
      <c r="E80" s="71"/>
      <c r="F80" s="70"/>
      <c r="G80" s="71"/>
      <c r="H80" s="71"/>
      <c r="I80" s="71"/>
      <c r="J80" s="71"/>
      <c r="K80" s="71"/>
      <c r="L80" s="71"/>
      <c r="M80" s="71"/>
      <c r="N80" s="72"/>
      <c r="O80" s="72"/>
      <c r="P80" s="72"/>
      <c r="Q80" s="72"/>
      <c r="R80" s="72"/>
      <c r="S80" s="72"/>
      <c r="T80" s="72"/>
      <c r="U80" s="72"/>
    </row>
    <row r="81" spans="1:2" ht="19.5" customHeight="1" x14ac:dyDescent="0.15">
      <c r="B81" s="70"/>
    </row>
    <row r="82" spans="1:2" x14ac:dyDescent="0.15">
      <c r="A82" s="57" t="s">
        <v>56</v>
      </c>
    </row>
    <row r="83" spans="1:2" x14ac:dyDescent="0.15">
      <c r="A83" s="16" t="s">
        <v>75</v>
      </c>
    </row>
    <row r="84" spans="1:2" x14ac:dyDescent="0.15">
      <c r="A84" s="57" t="s">
        <v>108</v>
      </c>
    </row>
    <row r="85" spans="1:2" x14ac:dyDescent="0.15">
      <c r="A85" s="57" t="s">
        <v>114</v>
      </c>
    </row>
    <row r="86" spans="1:2" x14ac:dyDescent="0.15">
      <c r="A86" s="57" t="s">
        <v>124</v>
      </c>
    </row>
  </sheetData>
  <mergeCells count="142">
    <mergeCell ref="T62:U62"/>
    <mergeCell ref="J9:K9"/>
    <mergeCell ref="R59:S59"/>
    <mergeCell ref="N8:O8"/>
    <mergeCell ref="N9:O9"/>
    <mergeCell ref="L11:M11"/>
    <mergeCell ref="J61:K61"/>
    <mergeCell ref="J59:K59"/>
    <mergeCell ref="J56:U56"/>
    <mergeCell ref="J57:K57"/>
    <mergeCell ref="H60:I60"/>
    <mergeCell ref="H57:I57"/>
    <mergeCell ref="F11:G11"/>
    <mergeCell ref="H62:I62"/>
    <mergeCell ref="H61:I61"/>
    <mergeCell ref="H59:I59"/>
    <mergeCell ref="B8:C8"/>
    <mergeCell ref="B7:C7"/>
    <mergeCell ref="B6:C6"/>
    <mergeCell ref="B57:C57"/>
    <mergeCell ref="D11:E11"/>
    <mergeCell ref="J64:K64"/>
    <mergeCell ref="J62:K62"/>
    <mergeCell ref="F9:G9"/>
    <mergeCell ref="F8:G8"/>
    <mergeCell ref="D62:E62"/>
    <mergeCell ref="D57:E57"/>
    <mergeCell ref="F57:G57"/>
    <mergeCell ref="F60:G60"/>
    <mergeCell ref="F62:G62"/>
    <mergeCell ref="D59:E59"/>
    <mergeCell ref="F59:G59"/>
    <mergeCell ref="F61:G61"/>
    <mergeCell ref="D60:E60"/>
    <mergeCell ref="B2:I2"/>
    <mergeCell ref="B56:I56"/>
    <mergeCell ref="H9:I9"/>
    <mergeCell ref="H11:I11"/>
    <mergeCell ref="D9:E9"/>
    <mergeCell ref="F3:G3"/>
    <mergeCell ref="F6:G6"/>
    <mergeCell ref="H5:I5"/>
    <mergeCell ref="B3:C3"/>
    <mergeCell ref="B5:C5"/>
    <mergeCell ref="P5:Q5"/>
    <mergeCell ref="R5:S5"/>
    <mergeCell ref="N5:O5"/>
    <mergeCell ref="P6:Q6"/>
    <mergeCell ref="R6:S6"/>
    <mergeCell ref="B61:C61"/>
    <mergeCell ref="B60:C60"/>
    <mergeCell ref="B59:C59"/>
    <mergeCell ref="B11:C11"/>
    <mergeCell ref="B9:C9"/>
    <mergeCell ref="T6:U6"/>
    <mergeCell ref="H3:I3"/>
    <mergeCell ref="H8:I8"/>
    <mergeCell ref="R7:S7"/>
    <mergeCell ref="T8:U8"/>
    <mergeCell ref="P7:Q7"/>
    <mergeCell ref="P3:Q3"/>
    <mergeCell ref="J3:K3"/>
    <mergeCell ref="J5:K5"/>
    <mergeCell ref="J6:K6"/>
    <mergeCell ref="D5:E5"/>
    <mergeCell ref="D6:E6"/>
    <mergeCell ref="H7:I7"/>
    <mergeCell ref="F5:G5"/>
    <mergeCell ref="H6:I6"/>
    <mergeCell ref="F7:G7"/>
    <mergeCell ref="D7:E7"/>
    <mergeCell ref="J2:U2"/>
    <mergeCell ref="N11:O11"/>
    <mergeCell ref="P11:Q11"/>
    <mergeCell ref="R11:S11"/>
    <mergeCell ref="T11:U11"/>
    <mergeCell ref="L7:M7"/>
    <mergeCell ref="L8:M8"/>
    <mergeCell ref="L9:M9"/>
    <mergeCell ref="J11:K11"/>
    <mergeCell ref="T7:U7"/>
    <mergeCell ref="D8:E8"/>
    <mergeCell ref="J8:K8"/>
    <mergeCell ref="P8:Q8"/>
    <mergeCell ref="J7:K7"/>
    <mergeCell ref="N7:O7"/>
    <mergeCell ref="R62:S62"/>
    <mergeCell ref="R57:S57"/>
    <mergeCell ref="D61:E61"/>
    <mergeCell ref="L61:M61"/>
    <mergeCell ref="J60:K60"/>
    <mergeCell ref="B64:C64"/>
    <mergeCell ref="D64:E64"/>
    <mergeCell ref="B63:C63"/>
    <mergeCell ref="H64:I64"/>
    <mergeCell ref="D63:E63"/>
    <mergeCell ref="F63:G63"/>
    <mergeCell ref="F64:G64"/>
    <mergeCell ref="H63:I63"/>
    <mergeCell ref="J63:K63"/>
    <mergeCell ref="P62:Q62"/>
    <mergeCell ref="B62:C62"/>
    <mergeCell ref="T63:U63"/>
    <mergeCell ref="P64:Q64"/>
    <mergeCell ref="R64:S64"/>
    <mergeCell ref="T64:U64"/>
    <mergeCell ref="P63:Q63"/>
    <mergeCell ref="R63:S63"/>
    <mergeCell ref="L62:M62"/>
    <mergeCell ref="T60:U60"/>
    <mergeCell ref="T59:U59"/>
    <mergeCell ref="P61:Q61"/>
    <mergeCell ref="R60:S60"/>
    <mergeCell ref="R61:S61"/>
    <mergeCell ref="T61:U61"/>
    <mergeCell ref="P59:Q59"/>
    <mergeCell ref="P57:Q57"/>
    <mergeCell ref="A1:U1"/>
    <mergeCell ref="T57:U57"/>
    <mergeCell ref="N3:O3"/>
    <mergeCell ref="T3:U3"/>
    <mergeCell ref="R3:S3"/>
    <mergeCell ref="P9:Q9"/>
    <mergeCell ref="R8:S8"/>
    <mergeCell ref="D3:E3"/>
    <mergeCell ref="R9:S9"/>
    <mergeCell ref="T9:U9"/>
    <mergeCell ref="L63:M63"/>
    <mergeCell ref="N62:O62"/>
    <mergeCell ref="N6:O6"/>
    <mergeCell ref="L3:M3"/>
    <mergeCell ref="P60:Q60"/>
    <mergeCell ref="T5:U5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6" fitToHeight="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I17" sqref="I17"/>
    </sheetView>
  </sheetViews>
  <sheetFormatPr defaultRowHeight="14.25" x14ac:dyDescent="0.15"/>
  <cols>
    <col min="1" max="1" width="13.375" customWidth="1"/>
    <col min="2" max="13" width="7.25" customWidth="1"/>
    <col min="14" max="19" width="6.875" customWidth="1"/>
    <col min="20" max="25" width="7.625" customWidth="1"/>
  </cols>
  <sheetData>
    <row r="1" spans="1:25" ht="18.75" x14ac:dyDescent="0.15">
      <c r="A1" s="132" t="s">
        <v>87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5" x14ac:dyDescent="0.15">
      <c r="A2" s="24" t="s">
        <v>68</v>
      </c>
      <c r="B2" s="148" t="s">
        <v>81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  <c r="N2" s="151" t="s">
        <v>82</v>
      </c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3"/>
    </row>
    <row r="3" spans="1:25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56">
        <v>1</v>
      </c>
      <c r="I3" s="157"/>
      <c r="J3" s="156">
        <v>1</v>
      </c>
      <c r="K3" s="157"/>
      <c r="L3" s="156">
        <v>1</v>
      </c>
      <c r="M3" s="157"/>
      <c r="N3" s="130">
        <v>0.8</v>
      </c>
      <c r="O3" s="131"/>
      <c r="P3" s="130">
        <v>0.8</v>
      </c>
      <c r="Q3" s="131"/>
      <c r="R3" s="130">
        <v>0.8</v>
      </c>
      <c r="S3" s="131"/>
      <c r="T3" s="147">
        <v>1</v>
      </c>
      <c r="U3" s="146"/>
      <c r="V3" s="144">
        <v>1</v>
      </c>
      <c r="W3" s="144"/>
      <c r="X3" s="145">
        <v>1</v>
      </c>
      <c r="Y3" s="146"/>
    </row>
    <row r="4" spans="1:25" x14ac:dyDescent="0.15">
      <c r="A4" s="24" t="s">
        <v>59</v>
      </c>
      <c r="B4" s="17"/>
      <c r="C4" s="18"/>
      <c r="D4" s="17"/>
      <c r="E4" s="18"/>
      <c r="F4" s="17"/>
      <c r="G4" s="18"/>
      <c r="H4" s="45"/>
      <c r="I4" s="45"/>
      <c r="J4" s="45"/>
      <c r="K4" s="45"/>
      <c r="L4" s="45"/>
      <c r="M4" s="45"/>
      <c r="N4" s="20"/>
      <c r="O4" s="21"/>
      <c r="P4" s="20"/>
      <c r="Q4" s="21"/>
      <c r="R4" s="20"/>
      <c r="S4" s="21"/>
      <c r="T4" s="147"/>
      <c r="U4" s="146"/>
      <c r="V4" s="144"/>
      <c r="W4" s="144"/>
      <c r="X4" s="145"/>
      <c r="Y4" s="146"/>
    </row>
    <row r="5" spans="1:25" x14ac:dyDescent="0.15">
      <c r="A5" s="37" t="s">
        <v>79</v>
      </c>
      <c r="B5" s="137">
        <v>220</v>
      </c>
      <c r="C5" s="137"/>
      <c r="D5" s="137">
        <v>230</v>
      </c>
      <c r="E5" s="137"/>
      <c r="F5" s="137">
        <v>240</v>
      </c>
      <c r="G5" s="137"/>
      <c r="H5" s="150">
        <v>220</v>
      </c>
      <c r="I5" s="150"/>
      <c r="J5" s="150">
        <v>230</v>
      </c>
      <c r="K5" s="150"/>
      <c r="L5" s="150">
        <v>240</v>
      </c>
      <c r="M5" s="150"/>
      <c r="N5" s="126">
        <v>220</v>
      </c>
      <c r="O5" s="131"/>
      <c r="P5" s="149">
        <v>230</v>
      </c>
      <c r="Q5" s="149"/>
      <c r="R5" s="130">
        <v>240</v>
      </c>
      <c r="S5" s="131"/>
      <c r="T5" s="147">
        <v>220</v>
      </c>
      <c r="U5" s="146"/>
      <c r="V5" s="144">
        <v>230</v>
      </c>
      <c r="W5" s="144"/>
      <c r="X5" s="145">
        <v>240</v>
      </c>
      <c r="Y5" s="146"/>
    </row>
    <row r="6" spans="1:25" x14ac:dyDescent="0.15">
      <c r="A6" s="38" t="s">
        <v>80</v>
      </c>
      <c r="B6" s="137">
        <f>B5/2</f>
        <v>110</v>
      </c>
      <c r="C6" s="137"/>
      <c r="D6" s="137">
        <f>D5/2</f>
        <v>115</v>
      </c>
      <c r="E6" s="137"/>
      <c r="F6" s="137">
        <f>F5/2</f>
        <v>120</v>
      </c>
      <c r="G6" s="137"/>
      <c r="H6" s="150">
        <f>H5/2</f>
        <v>110</v>
      </c>
      <c r="I6" s="150"/>
      <c r="J6" s="150">
        <f>J5/2</f>
        <v>115</v>
      </c>
      <c r="K6" s="150"/>
      <c r="L6" s="150">
        <f>L5/2</f>
        <v>120</v>
      </c>
      <c r="M6" s="150"/>
      <c r="N6" s="126">
        <f>N5/2</f>
        <v>110</v>
      </c>
      <c r="O6" s="131"/>
      <c r="P6" s="126">
        <f>P5/2</f>
        <v>115</v>
      </c>
      <c r="Q6" s="131"/>
      <c r="R6" s="126">
        <f>R5/2</f>
        <v>120</v>
      </c>
      <c r="S6" s="131"/>
      <c r="T6" s="147">
        <f>T5/2</f>
        <v>110</v>
      </c>
      <c r="U6" s="146"/>
      <c r="V6" s="147">
        <f>V5/2</f>
        <v>115</v>
      </c>
      <c r="W6" s="146"/>
      <c r="X6" s="147">
        <f>X5/2</f>
        <v>120</v>
      </c>
      <c r="Y6" s="146"/>
    </row>
    <row r="7" spans="1:25" x14ac:dyDescent="0.15">
      <c r="A7" s="25" t="s">
        <v>63</v>
      </c>
      <c r="B7" s="154" t="s">
        <v>76</v>
      </c>
      <c r="C7" s="155"/>
      <c r="D7" s="154" t="s">
        <v>76</v>
      </c>
      <c r="E7" s="155"/>
      <c r="F7" s="154" t="s">
        <v>76</v>
      </c>
      <c r="G7" s="155"/>
      <c r="H7" s="160" t="s">
        <v>77</v>
      </c>
      <c r="I7" s="161"/>
      <c r="J7" s="160" t="s">
        <v>77</v>
      </c>
      <c r="K7" s="161"/>
      <c r="L7" s="160" t="s">
        <v>77</v>
      </c>
      <c r="M7" s="161"/>
      <c r="N7" s="158" t="s">
        <v>78</v>
      </c>
      <c r="O7" s="159"/>
      <c r="P7" s="158" t="s">
        <v>78</v>
      </c>
      <c r="Q7" s="159"/>
      <c r="R7" s="158" t="s">
        <v>78</v>
      </c>
      <c r="S7" s="159"/>
      <c r="T7" s="142" t="s">
        <v>78</v>
      </c>
      <c r="U7" s="143"/>
      <c r="V7" s="142" t="s">
        <v>78</v>
      </c>
      <c r="W7" s="143"/>
      <c r="X7" s="142" t="s">
        <v>78</v>
      </c>
      <c r="Y7" s="143"/>
    </row>
    <row r="8" spans="1:25" x14ac:dyDescent="0.15">
      <c r="A8" s="36" t="s">
        <v>64</v>
      </c>
      <c r="B8" s="19" t="s">
        <v>0</v>
      </c>
      <c r="C8" s="19" t="s">
        <v>1</v>
      </c>
      <c r="D8" s="19" t="s">
        <v>0</v>
      </c>
      <c r="E8" s="19" t="s">
        <v>1</v>
      </c>
      <c r="F8" s="19" t="s">
        <v>0</v>
      </c>
      <c r="G8" s="19" t="s">
        <v>1</v>
      </c>
      <c r="H8" s="46" t="s">
        <v>0</v>
      </c>
      <c r="I8" s="46" t="s">
        <v>1</v>
      </c>
      <c r="J8" s="46" t="s">
        <v>0</v>
      </c>
      <c r="K8" s="46" t="s">
        <v>1</v>
      </c>
      <c r="L8" s="46" t="s">
        <v>0</v>
      </c>
      <c r="M8" s="46" t="s">
        <v>1</v>
      </c>
      <c r="N8" s="23" t="s">
        <v>0</v>
      </c>
      <c r="O8" s="23" t="s">
        <v>1</v>
      </c>
      <c r="P8" s="23" t="s">
        <v>0</v>
      </c>
      <c r="Q8" s="23" t="s">
        <v>1</v>
      </c>
      <c r="R8" s="23" t="s">
        <v>0</v>
      </c>
      <c r="S8" s="23" t="s">
        <v>1</v>
      </c>
      <c r="T8" s="50" t="s">
        <v>0</v>
      </c>
      <c r="U8" s="50" t="s">
        <v>1</v>
      </c>
      <c r="V8" s="50" t="s">
        <v>0</v>
      </c>
      <c r="W8" s="50" t="s">
        <v>1</v>
      </c>
      <c r="X8" s="50" t="s">
        <v>0</v>
      </c>
      <c r="Y8" s="50" t="s">
        <v>1</v>
      </c>
    </row>
    <row r="9" spans="1:25" x14ac:dyDescent="0.15">
      <c r="A9" s="31" t="s">
        <v>2</v>
      </c>
      <c r="B9" s="40">
        <v>5.4</v>
      </c>
      <c r="C9" s="40">
        <v>4.3</v>
      </c>
      <c r="D9" s="40">
        <v>5.4</v>
      </c>
      <c r="E9" s="40">
        <v>4.3</v>
      </c>
      <c r="F9" s="40">
        <v>5.4</v>
      </c>
      <c r="G9" s="40">
        <v>4.3</v>
      </c>
      <c r="H9" s="41">
        <v>6.8</v>
      </c>
      <c r="I9" s="41">
        <v>6.8</v>
      </c>
      <c r="J9" s="41">
        <v>6.8</v>
      </c>
      <c r="K9" s="41">
        <v>6.8</v>
      </c>
      <c r="L9" s="41">
        <v>6.8</v>
      </c>
      <c r="M9" s="41">
        <v>6.8</v>
      </c>
      <c r="N9" s="47">
        <v>6.4</v>
      </c>
      <c r="O9" s="47">
        <v>5.0999999999999996</v>
      </c>
      <c r="P9" s="47">
        <v>6.4</v>
      </c>
      <c r="Q9" s="47">
        <v>5.0999999999999996</v>
      </c>
      <c r="R9" s="47">
        <v>6.4</v>
      </c>
      <c r="S9" s="47">
        <v>5.0999999999999996</v>
      </c>
      <c r="T9" s="41">
        <v>8.1999999999999993</v>
      </c>
      <c r="U9" s="41">
        <v>8.1999999999999993</v>
      </c>
      <c r="V9" s="41">
        <v>8.1999999999999993</v>
      </c>
      <c r="W9" s="41">
        <v>8.1999999999999993</v>
      </c>
      <c r="X9" s="41">
        <v>8.1999999999999993</v>
      </c>
      <c r="Y9" s="41">
        <v>8.1999999999999993</v>
      </c>
    </row>
    <row r="10" spans="1:25" x14ac:dyDescent="0.15">
      <c r="A10" s="31" t="s">
        <v>3</v>
      </c>
      <c r="B10" s="40">
        <v>7.4</v>
      </c>
      <c r="C10" s="40">
        <v>5.9</v>
      </c>
      <c r="D10" s="40">
        <v>7.4</v>
      </c>
      <c r="E10" s="40">
        <v>5.9</v>
      </c>
      <c r="F10" s="40">
        <v>7.4</v>
      </c>
      <c r="G10" s="40">
        <v>5.9</v>
      </c>
      <c r="H10" s="41">
        <v>8.4</v>
      </c>
      <c r="I10" s="41">
        <v>8.4</v>
      </c>
      <c r="J10" s="41">
        <v>8.4</v>
      </c>
      <c r="K10" s="41">
        <v>8.4</v>
      </c>
      <c r="L10" s="41">
        <v>8.4</v>
      </c>
      <c r="M10" s="41">
        <v>8.4</v>
      </c>
      <c r="N10" s="47">
        <v>8.8000000000000007</v>
      </c>
      <c r="O10" s="47">
        <v>7</v>
      </c>
      <c r="P10" s="47">
        <v>8.8000000000000007</v>
      </c>
      <c r="Q10" s="47">
        <v>7</v>
      </c>
      <c r="R10" s="47">
        <v>8.8000000000000007</v>
      </c>
      <c r="S10" s="47">
        <v>7</v>
      </c>
      <c r="T10" s="41">
        <v>11</v>
      </c>
      <c r="U10" s="41">
        <v>11</v>
      </c>
      <c r="V10" s="41">
        <v>11</v>
      </c>
      <c r="W10" s="41">
        <v>11</v>
      </c>
      <c r="X10" s="41">
        <v>11</v>
      </c>
      <c r="Y10" s="41">
        <v>11</v>
      </c>
    </row>
    <row r="11" spans="1:25" x14ac:dyDescent="0.15">
      <c r="A11" s="31" t="s">
        <v>4</v>
      </c>
      <c r="B11" s="40">
        <v>9</v>
      </c>
      <c r="C11" s="40">
        <v>7.2</v>
      </c>
      <c r="D11" s="40">
        <v>9</v>
      </c>
      <c r="E11" s="40">
        <v>7.2</v>
      </c>
      <c r="F11" s="40">
        <v>9</v>
      </c>
      <c r="G11" s="40">
        <v>7.2</v>
      </c>
      <c r="H11" s="41">
        <v>11</v>
      </c>
      <c r="I11" s="41">
        <v>11</v>
      </c>
      <c r="J11" s="41">
        <v>11</v>
      </c>
      <c r="K11" s="41">
        <v>11</v>
      </c>
      <c r="L11" s="41">
        <v>11</v>
      </c>
      <c r="M11" s="41">
        <v>11</v>
      </c>
      <c r="N11" s="47">
        <v>10.8</v>
      </c>
      <c r="O11" s="47">
        <v>8.6</v>
      </c>
      <c r="P11" s="47">
        <v>10.8</v>
      </c>
      <c r="Q11" s="47">
        <v>8.6</v>
      </c>
      <c r="R11" s="47">
        <v>10.8</v>
      </c>
      <c r="S11" s="47">
        <v>8.6</v>
      </c>
      <c r="T11" s="41">
        <v>13.5</v>
      </c>
      <c r="U11" s="41">
        <v>13.5</v>
      </c>
      <c r="V11" s="41">
        <v>13.5</v>
      </c>
      <c r="W11" s="41">
        <v>13.5</v>
      </c>
      <c r="X11" s="41">
        <v>13.5</v>
      </c>
      <c r="Y11" s="41">
        <v>13.5</v>
      </c>
    </row>
    <row r="12" spans="1:25" x14ac:dyDescent="0.15">
      <c r="A12" s="31" t="s">
        <v>5</v>
      </c>
      <c r="B12" s="40">
        <v>10.8</v>
      </c>
      <c r="C12" s="40">
        <v>8.6</v>
      </c>
      <c r="D12" s="40">
        <v>10.8</v>
      </c>
      <c r="E12" s="40">
        <v>8.6</v>
      </c>
      <c r="F12" s="40">
        <v>10.8</v>
      </c>
      <c r="G12" s="40">
        <v>8.6</v>
      </c>
      <c r="H12" s="41">
        <v>13</v>
      </c>
      <c r="I12" s="41">
        <v>13</v>
      </c>
      <c r="J12" s="41">
        <v>13</v>
      </c>
      <c r="K12" s="41">
        <v>13</v>
      </c>
      <c r="L12" s="41">
        <v>13</v>
      </c>
      <c r="M12" s="41">
        <v>13</v>
      </c>
      <c r="N12" s="47">
        <v>13.5</v>
      </c>
      <c r="O12" s="47">
        <v>10.8</v>
      </c>
      <c r="P12" s="47">
        <v>13.5</v>
      </c>
      <c r="Q12" s="47">
        <v>10.8</v>
      </c>
      <c r="R12" s="47">
        <v>13.5</v>
      </c>
      <c r="S12" s="47">
        <v>10.8</v>
      </c>
      <c r="T12" s="41">
        <v>16.5</v>
      </c>
      <c r="U12" s="41">
        <v>16.5</v>
      </c>
      <c r="V12" s="41">
        <v>16.5</v>
      </c>
      <c r="W12" s="41">
        <v>16.5</v>
      </c>
      <c r="X12" s="41">
        <v>16.5</v>
      </c>
      <c r="Y12" s="41">
        <v>16.5</v>
      </c>
    </row>
    <row r="13" spans="1:25" x14ac:dyDescent="0.15">
      <c r="A13" s="31"/>
      <c r="B13" s="40"/>
      <c r="C13" s="40"/>
      <c r="D13" s="40"/>
      <c r="E13" s="40"/>
      <c r="F13" s="40"/>
      <c r="G13" s="40"/>
      <c r="H13" s="41"/>
      <c r="I13" s="41"/>
      <c r="J13" s="41"/>
      <c r="K13" s="41"/>
      <c r="L13" s="41"/>
      <c r="M13" s="41"/>
      <c r="N13" s="47"/>
      <c r="O13" s="47"/>
      <c r="P13" s="47"/>
      <c r="Q13" s="47"/>
      <c r="R13" s="47"/>
      <c r="S13" s="47"/>
      <c r="T13" s="41"/>
      <c r="U13" s="41"/>
      <c r="V13" s="41"/>
      <c r="W13" s="41"/>
      <c r="X13" s="41"/>
      <c r="Y13" s="41"/>
    </row>
    <row r="14" spans="1:25" x14ac:dyDescent="0.15">
      <c r="A14" s="31" t="s">
        <v>6</v>
      </c>
      <c r="B14" s="40">
        <f>C14/0.8</f>
        <v>12.5</v>
      </c>
      <c r="C14" s="40">
        <v>10</v>
      </c>
      <c r="D14" s="40">
        <f>E14/0.8</f>
        <v>12.5</v>
      </c>
      <c r="E14" s="40">
        <v>10</v>
      </c>
      <c r="F14" s="40">
        <f>G14/0.8</f>
        <v>12.5</v>
      </c>
      <c r="G14" s="40">
        <v>10</v>
      </c>
      <c r="H14" s="41">
        <v>14</v>
      </c>
      <c r="I14" s="41">
        <v>14</v>
      </c>
      <c r="J14" s="41">
        <v>14</v>
      </c>
      <c r="K14" s="41">
        <v>14</v>
      </c>
      <c r="L14" s="41">
        <v>14</v>
      </c>
      <c r="M14" s="41">
        <v>14</v>
      </c>
      <c r="N14" s="47">
        <f>O14/N3</f>
        <v>15</v>
      </c>
      <c r="O14" s="47">
        <v>12</v>
      </c>
      <c r="P14" s="47">
        <f>Q14/P3</f>
        <v>15</v>
      </c>
      <c r="Q14" s="47">
        <v>12</v>
      </c>
      <c r="R14" s="47">
        <f>S14/R3</f>
        <v>15</v>
      </c>
      <c r="S14" s="47">
        <v>12</v>
      </c>
      <c r="T14" s="41">
        <v>18</v>
      </c>
      <c r="U14" s="41">
        <v>18</v>
      </c>
      <c r="V14" s="41">
        <v>18</v>
      </c>
      <c r="W14" s="41">
        <v>18</v>
      </c>
      <c r="X14" s="41">
        <v>18</v>
      </c>
      <c r="Y14" s="41">
        <v>18</v>
      </c>
    </row>
    <row r="15" spans="1:25" x14ac:dyDescent="0.15">
      <c r="A15" s="31" t="s">
        <v>7</v>
      </c>
      <c r="B15" s="40">
        <v>15</v>
      </c>
      <c r="C15" s="40">
        <v>12</v>
      </c>
      <c r="D15" s="40">
        <v>15</v>
      </c>
      <c r="E15" s="40">
        <v>12</v>
      </c>
      <c r="F15" s="40">
        <v>15</v>
      </c>
      <c r="G15" s="40">
        <v>12</v>
      </c>
      <c r="H15" s="41">
        <v>16.600000000000001</v>
      </c>
      <c r="I15" s="41">
        <v>16.600000000000001</v>
      </c>
      <c r="J15" s="41">
        <v>16.600000000000001</v>
      </c>
      <c r="K15" s="41">
        <v>16.600000000000001</v>
      </c>
      <c r="L15" s="41">
        <v>16.600000000000001</v>
      </c>
      <c r="M15" s="41">
        <v>16.600000000000001</v>
      </c>
      <c r="N15" s="47">
        <v>18.399999999999999</v>
      </c>
      <c r="O15" s="47">
        <v>14.7</v>
      </c>
      <c r="P15" s="47">
        <v>18.399999999999999</v>
      </c>
      <c r="Q15" s="47">
        <v>14.7</v>
      </c>
      <c r="R15" s="47">
        <v>18.399999999999999</v>
      </c>
      <c r="S15" s="47">
        <v>14.7</v>
      </c>
      <c r="T15" s="41">
        <v>21</v>
      </c>
      <c r="U15" s="41">
        <v>21</v>
      </c>
      <c r="V15" s="44">
        <v>21</v>
      </c>
      <c r="W15" s="44">
        <v>21</v>
      </c>
      <c r="X15" s="44">
        <v>21</v>
      </c>
      <c r="Y15" s="44">
        <v>21</v>
      </c>
    </row>
    <row r="16" spans="1:25" x14ac:dyDescent="0.15">
      <c r="A16" s="31" t="s">
        <v>8</v>
      </c>
      <c r="B16" s="40">
        <v>18.5</v>
      </c>
      <c r="C16" s="40">
        <v>14.8</v>
      </c>
      <c r="D16" s="40">
        <v>18.5</v>
      </c>
      <c r="E16" s="40">
        <v>14.8</v>
      </c>
      <c r="F16" s="40">
        <v>18.5</v>
      </c>
      <c r="G16" s="40">
        <v>14.8</v>
      </c>
      <c r="H16" s="41">
        <v>20</v>
      </c>
      <c r="I16" s="41">
        <v>20</v>
      </c>
      <c r="J16" s="41">
        <v>20</v>
      </c>
      <c r="K16" s="41">
        <v>20</v>
      </c>
      <c r="L16" s="41">
        <v>20</v>
      </c>
      <c r="M16" s="41">
        <v>20</v>
      </c>
      <c r="N16" s="47">
        <v>21.9</v>
      </c>
      <c r="O16" s="47">
        <v>17.5</v>
      </c>
      <c r="P16" s="47">
        <v>21.9</v>
      </c>
      <c r="Q16" s="47">
        <v>17.5</v>
      </c>
      <c r="R16" s="47">
        <v>21.9</v>
      </c>
      <c r="S16" s="47">
        <v>17.5</v>
      </c>
      <c r="T16" s="41">
        <v>25.6</v>
      </c>
      <c r="U16" s="41">
        <v>25.6</v>
      </c>
      <c r="V16" s="44">
        <v>25.6</v>
      </c>
      <c r="W16" s="44">
        <v>25.6</v>
      </c>
      <c r="X16" s="44">
        <v>25.6</v>
      </c>
      <c r="Y16" s="44">
        <v>25.6</v>
      </c>
    </row>
    <row r="17" spans="1:25" x14ac:dyDescent="0.15">
      <c r="A17" s="31" t="s">
        <v>9</v>
      </c>
      <c r="B17" s="40">
        <v>21</v>
      </c>
      <c r="C17" s="40">
        <v>16.8</v>
      </c>
      <c r="D17" s="40">
        <v>21</v>
      </c>
      <c r="E17" s="40">
        <v>16.8</v>
      </c>
      <c r="F17" s="40">
        <v>21</v>
      </c>
      <c r="G17" s="40">
        <v>16.8</v>
      </c>
      <c r="H17" s="41">
        <v>22.8</v>
      </c>
      <c r="I17" s="41">
        <v>22.8</v>
      </c>
      <c r="J17" s="41">
        <v>22.8</v>
      </c>
      <c r="K17" s="41">
        <v>22.8</v>
      </c>
      <c r="L17" s="41">
        <v>22.8</v>
      </c>
      <c r="M17" s="41">
        <v>22.8</v>
      </c>
      <c r="N17" s="47">
        <v>25</v>
      </c>
      <c r="O17" s="47">
        <v>20</v>
      </c>
      <c r="P17" s="47">
        <v>25</v>
      </c>
      <c r="Q17" s="47">
        <v>20</v>
      </c>
      <c r="R17" s="47">
        <v>25</v>
      </c>
      <c r="S17" s="47">
        <v>20</v>
      </c>
      <c r="T17" s="41">
        <v>30</v>
      </c>
      <c r="U17" s="41">
        <v>30</v>
      </c>
      <c r="V17" s="41">
        <v>30.8</v>
      </c>
      <c r="W17" s="41">
        <v>30.8</v>
      </c>
      <c r="X17" s="44">
        <v>30.8</v>
      </c>
      <c r="Y17" s="44">
        <v>30.8</v>
      </c>
    </row>
    <row r="18" spans="1:25" x14ac:dyDescent="0.15">
      <c r="A18" s="31" t="s">
        <v>10</v>
      </c>
      <c r="B18" s="40">
        <v>25</v>
      </c>
      <c r="C18" s="40">
        <v>20</v>
      </c>
      <c r="D18" s="40">
        <v>25</v>
      </c>
      <c r="E18" s="40">
        <v>20</v>
      </c>
      <c r="F18" s="40">
        <v>25</v>
      </c>
      <c r="G18" s="40">
        <v>20</v>
      </c>
      <c r="H18" s="41">
        <v>27</v>
      </c>
      <c r="I18" s="41">
        <v>27</v>
      </c>
      <c r="J18" s="41">
        <v>27</v>
      </c>
      <c r="K18" s="41">
        <v>27</v>
      </c>
      <c r="L18" s="41">
        <v>27</v>
      </c>
      <c r="M18" s="41">
        <v>27</v>
      </c>
      <c r="N18" s="47">
        <v>31.3</v>
      </c>
      <c r="O18" s="47">
        <v>25</v>
      </c>
      <c r="P18" s="47">
        <v>31.3</v>
      </c>
      <c r="Q18" s="47">
        <v>25</v>
      </c>
      <c r="R18" s="47">
        <v>31.3</v>
      </c>
      <c r="S18" s="47">
        <v>25</v>
      </c>
      <c r="T18" s="41">
        <v>35</v>
      </c>
      <c r="U18" s="41">
        <v>35</v>
      </c>
      <c r="V18" s="41">
        <v>35</v>
      </c>
      <c r="W18" s="41">
        <v>35</v>
      </c>
      <c r="X18" s="41">
        <v>35</v>
      </c>
      <c r="Y18" s="41">
        <v>35</v>
      </c>
    </row>
    <row r="19" spans="1:25" x14ac:dyDescent="0.15">
      <c r="A19" s="31" t="s">
        <v>11</v>
      </c>
      <c r="B19" s="40">
        <v>28</v>
      </c>
      <c r="C19" s="40">
        <v>22.4</v>
      </c>
      <c r="D19" s="40">
        <v>28</v>
      </c>
      <c r="E19" s="40">
        <v>22.4</v>
      </c>
      <c r="F19" s="40">
        <v>28</v>
      </c>
      <c r="G19" s="40">
        <v>22.4</v>
      </c>
      <c r="H19" s="41">
        <v>30</v>
      </c>
      <c r="I19" s="41">
        <v>30</v>
      </c>
      <c r="J19" s="41">
        <v>30</v>
      </c>
      <c r="K19" s="41">
        <v>30</v>
      </c>
      <c r="L19" s="41">
        <v>30</v>
      </c>
      <c r="M19" s="41">
        <v>30</v>
      </c>
      <c r="N19" s="47">
        <v>35</v>
      </c>
      <c r="O19" s="47">
        <v>28</v>
      </c>
      <c r="P19" s="47">
        <v>35</v>
      </c>
      <c r="Q19" s="47">
        <v>28</v>
      </c>
      <c r="R19" s="47">
        <v>35</v>
      </c>
      <c r="S19" s="47">
        <v>28</v>
      </c>
      <c r="T19" s="41">
        <v>40</v>
      </c>
      <c r="U19" s="41">
        <v>40</v>
      </c>
      <c r="V19" s="41">
        <v>40</v>
      </c>
      <c r="W19" s="41">
        <v>40</v>
      </c>
      <c r="X19" s="41">
        <v>40</v>
      </c>
      <c r="Y19" s="41">
        <v>40</v>
      </c>
    </row>
    <row r="20" spans="1:25" x14ac:dyDescent="0.15">
      <c r="A20" s="31"/>
      <c r="B20" s="40"/>
      <c r="C20" s="40"/>
      <c r="D20" s="40"/>
      <c r="E20" s="40"/>
      <c r="F20" s="40"/>
      <c r="G20" s="40"/>
      <c r="H20" s="41"/>
      <c r="I20" s="41"/>
      <c r="J20" s="41"/>
      <c r="K20" s="41"/>
      <c r="L20" s="41"/>
      <c r="M20" s="41"/>
      <c r="N20" s="47"/>
      <c r="O20" s="47"/>
      <c r="P20" s="47"/>
      <c r="Q20" s="47"/>
      <c r="R20" s="47"/>
      <c r="S20" s="47"/>
      <c r="T20" s="41"/>
      <c r="U20" s="41"/>
      <c r="V20" s="41"/>
      <c r="W20" s="41"/>
      <c r="X20" s="41"/>
      <c r="Y20" s="41"/>
    </row>
    <row r="21" spans="1:25" x14ac:dyDescent="0.15">
      <c r="A21" s="31" t="s">
        <v>13</v>
      </c>
      <c r="B21" s="42">
        <v>28</v>
      </c>
      <c r="C21" s="42">
        <v>22.4</v>
      </c>
      <c r="D21" s="42">
        <v>28</v>
      </c>
      <c r="E21" s="42">
        <v>22.4</v>
      </c>
      <c r="F21" s="42">
        <v>28</v>
      </c>
      <c r="G21" s="42">
        <v>22.4</v>
      </c>
      <c r="H21" s="43">
        <v>28</v>
      </c>
      <c r="I21" s="43">
        <v>28</v>
      </c>
      <c r="J21" s="43">
        <v>28</v>
      </c>
      <c r="K21" s="43">
        <v>28</v>
      </c>
      <c r="L21" s="43">
        <v>28</v>
      </c>
      <c r="M21" s="43">
        <v>28</v>
      </c>
      <c r="N21" s="48">
        <v>37.5</v>
      </c>
      <c r="O21" s="48">
        <v>30</v>
      </c>
      <c r="P21" s="48">
        <v>37.5</v>
      </c>
      <c r="Q21" s="48">
        <v>30</v>
      </c>
      <c r="R21" s="48">
        <v>37.5</v>
      </c>
      <c r="S21" s="48">
        <v>30</v>
      </c>
      <c r="T21" s="43">
        <v>37.5</v>
      </c>
      <c r="U21" s="43">
        <v>37.5</v>
      </c>
      <c r="V21" s="43">
        <v>37.5</v>
      </c>
      <c r="W21" s="43">
        <v>37.5</v>
      </c>
      <c r="X21" s="43">
        <v>37.5</v>
      </c>
      <c r="Y21" s="43">
        <v>37.5</v>
      </c>
    </row>
    <row r="22" spans="1:25" x14ac:dyDescent="0.15">
      <c r="A22" s="31" t="s">
        <v>14</v>
      </c>
      <c r="B22" s="42">
        <v>35</v>
      </c>
      <c r="C22" s="42">
        <v>28</v>
      </c>
      <c r="D22" s="42">
        <v>35</v>
      </c>
      <c r="E22" s="42">
        <v>28</v>
      </c>
      <c r="F22" s="42">
        <v>35</v>
      </c>
      <c r="G22" s="42">
        <v>28</v>
      </c>
      <c r="H22" s="43">
        <v>35</v>
      </c>
      <c r="I22" s="43">
        <v>35</v>
      </c>
      <c r="J22" s="43">
        <v>35</v>
      </c>
      <c r="K22" s="43">
        <v>35</v>
      </c>
      <c r="L22" s="43">
        <v>35</v>
      </c>
      <c r="M22" s="43">
        <v>35</v>
      </c>
      <c r="N22" s="48">
        <v>44</v>
      </c>
      <c r="O22" s="48">
        <v>35</v>
      </c>
      <c r="P22" s="48">
        <v>44</v>
      </c>
      <c r="Q22" s="48">
        <v>35</v>
      </c>
      <c r="R22" s="48">
        <v>44</v>
      </c>
      <c r="S22" s="48">
        <v>35</v>
      </c>
      <c r="T22" s="43">
        <v>44</v>
      </c>
      <c r="U22" s="43">
        <v>44</v>
      </c>
      <c r="V22" s="43">
        <v>44</v>
      </c>
      <c r="W22" s="43">
        <v>44</v>
      </c>
      <c r="X22" s="43">
        <v>44</v>
      </c>
      <c r="Y22" s="43">
        <v>44</v>
      </c>
    </row>
    <row r="23" spans="1:25" x14ac:dyDescent="0.15">
      <c r="A23" s="31" t="s">
        <v>15</v>
      </c>
      <c r="B23" s="42">
        <v>40</v>
      </c>
      <c r="C23" s="42">
        <v>32</v>
      </c>
      <c r="D23" s="42">
        <v>40</v>
      </c>
      <c r="E23" s="42">
        <v>32</v>
      </c>
      <c r="F23" s="42">
        <v>40</v>
      </c>
      <c r="G23" s="42">
        <v>32</v>
      </c>
      <c r="H23" s="43">
        <v>40</v>
      </c>
      <c r="I23" s="43">
        <v>40</v>
      </c>
      <c r="J23" s="43">
        <v>40</v>
      </c>
      <c r="K23" s="43">
        <v>40</v>
      </c>
      <c r="L23" s="43">
        <v>40</v>
      </c>
      <c r="M23" s="43">
        <v>40</v>
      </c>
      <c r="N23" s="48">
        <v>50</v>
      </c>
      <c r="O23" s="48">
        <v>40</v>
      </c>
      <c r="P23" s="48">
        <v>50</v>
      </c>
      <c r="Q23" s="48">
        <v>40</v>
      </c>
      <c r="R23" s="48">
        <v>50</v>
      </c>
      <c r="S23" s="48">
        <v>40</v>
      </c>
      <c r="T23" s="43">
        <v>50</v>
      </c>
      <c r="U23" s="43">
        <v>50</v>
      </c>
      <c r="V23" s="43">
        <v>50</v>
      </c>
      <c r="W23" s="43">
        <v>50</v>
      </c>
      <c r="X23" s="43">
        <v>50</v>
      </c>
      <c r="Y23" s="43">
        <v>50</v>
      </c>
    </row>
    <row r="24" spans="1:25" x14ac:dyDescent="0.15">
      <c r="A24" s="31" t="s">
        <v>16</v>
      </c>
      <c r="B24" s="42">
        <v>50</v>
      </c>
      <c r="C24" s="42">
        <v>40</v>
      </c>
      <c r="D24" s="42">
        <v>50</v>
      </c>
      <c r="E24" s="42">
        <v>40</v>
      </c>
      <c r="F24" s="42">
        <v>50</v>
      </c>
      <c r="G24" s="42">
        <v>40</v>
      </c>
      <c r="H24" s="43">
        <v>50</v>
      </c>
      <c r="I24" s="43">
        <v>50</v>
      </c>
      <c r="J24" s="43">
        <v>50</v>
      </c>
      <c r="K24" s="43">
        <v>50</v>
      </c>
      <c r="L24" s="43">
        <v>50</v>
      </c>
      <c r="M24" s="43">
        <v>50</v>
      </c>
      <c r="N24" s="48">
        <v>60</v>
      </c>
      <c r="O24" s="48">
        <v>48</v>
      </c>
      <c r="P24" s="48">
        <v>60</v>
      </c>
      <c r="Q24" s="48">
        <v>48</v>
      </c>
      <c r="R24" s="48">
        <v>60</v>
      </c>
      <c r="S24" s="48">
        <v>48</v>
      </c>
      <c r="T24" s="43">
        <v>60</v>
      </c>
      <c r="U24" s="43">
        <v>60</v>
      </c>
      <c r="V24" s="43">
        <v>60</v>
      </c>
      <c r="W24" s="43">
        <v>60</v>
      </c>
      <c r="X24" s="43">
        <v>60</v>
      </c>
      <c r="Y24" s="43">
        <v>60</v>
      </c>
    </row>
    <row r="25" spans="1:25" x14ac:dyDescent="0.15">
      <c r="A25" s="31" t="s">
        <v>17</v>
      </c>
      <c r="B25" s="42">
        <v>60</v>
      </c>
      <c r="C25" s="42">
        <v>48</v>
      </c>
      <c r="D25" s="42">
        <v>60</v>
      </c>
      <c r="E25" s="42">
        <v>48</v>
      </c>
      <c r="F25" s="42">
        <v>60</v>
      </c>
      <c r="G25" s="42">
        <v>48</v>
      </c>
      <c r="H25" s="43">
        <v>60</v>
      </c>
      <c r="I25" s="43">
        <v>60</v>
      </c>
      <c r="J25" s="43">
        <v>60</v>
      </c>
      <c r="K25" s="43">
        <v>60</v>
      </c>
      <c r="L25" s="43">
        <v>60</v>
      </c>
      <c r="M25" s="43">
        <v>60</v>
      </c>
      <c r="N25" s="48">
        <v>70</v>
      </c>
      <c r="O25" s="48">
        <v>56</v>
      </c>
      <c r="P25" s="48">
        <v>70</v>
      </c>
      <c r="Q25" s="48">
        <v>56</v>
      </c>
      <c r="R25" s="48">
        <v>70</v>
      </c>
      <c r="S25" s="48">
        <v>56</v>
      </c>
      <c r="T25" s="43">
        <v>75</v>
      </c>
      <c r="U25" s="43">
        <v>75</v>
      </c>
      <c r="V25" s="43">
        <v>75</v>
      </c>
      <c r="W25" s="43">
        <v>75</v>
      </c>
      <c r="X25" s="43">
        <v>75</v>
      </c>
      <c r="Y25" s="43">
        <v>75</v>
      </c>
    </row>
    <row r="26" spans="1:25" x14ac:dyDescent="0.15">
      <c r="A26" s="31"/>
      <c r="B26" s="42"/>
      <c r="C26" s="42"/>
      <c r="D26" s="42"/>
      <c r="E26" s="42"/>
      <c r="F26" s="42"/>
      <c r="G26" s="42"/>
      <c r="H26" s="43"/>
      <c r="I26" s="43"/>
      <c r="J26" s="43"/>
      <c r="K26" s="43"/>
      <c r="L26" s="43"/>
      <c r="M26" s="43"/>
      <c r="N26" s="48"/>
      <c r="O26" s="48"/>
      <c r="P26" s="48"/>
      <c r="Q26" s="48"/>
      <c r="R26" s="48"/>
      <c r="S26" s="48"/>
      <c r="T26" s="43"/>
      <c r="U26" s="43"/>
      <c r="V26" s="43"/>
      <c r="W26" s="43"/>
      <c r="X26" s="43"/>
      <c r="Y26" s="43"/>
    </row>
    <row r="27" spans="1:25" x14ac:dyDescent="0.15">
      <c r="A27" s="31" t="s">
        <v>18</v>
      </c>
      <c r="B27" s="90">
        <v>66</v>
      </c>
      <c r="C27" s="90">
        <v>52.8</v>
      </c>
      <c r="D27" s="90">
        <v>66</v>
      </c>
      <c r="E27" s="90">
        <v>52.8</v>
      </c>
      <c r="F27" s="90">
        <v>66</v>
      </c>
      <c r="G27" s="90">
        <v>52.8</v>
      </c>
      <c r="H27" s="94">
        <v>66</v>
      </c>
      <c r="I27" s="94">
        <v>66</v>
      </c>
      <c r="J27" s="94">
        <v>66</v>
      </c>
      <c r="K27" s="94">
        <v>66</v>
      </c>
      <c r="L27" s="94">
        <v>66</v>
      </c>
      <c r="M27" s="94">
        <v>66</v>
      </c>
      <c r="N27" s="65">
        <v>84</v>
      </c>
      <c r="O27" s="65">
        <v>67</v>
      </c>
      <c r="P27" s="65">
        <v>84</v>
      </c>
      <c r="Q27" s="65">
        <v>67</v>
      </c>
      <c r="R27" s="65">
        <v>84</v>
      </c>
      <c r="S27" s="65">
        <v>67</v>
      </c>
      <c r="T27" s="94">
        <v>90</v>
      </c>
      <c r="U27" s="94">
        <v>90</v>
      </c>
      <c r="V27" s="94">
        <v>90</v>
      </c>
      <c r="W27" s="94">
        <v>90</v>
      </c>
      <c r="X27" s="94">
        <v>90</v>
      </c>
      <c r="Y27" s="94">
        <v>90</v>
      </c>
    </row>
    <row r="28" spans="1:25" x14ac:dyDescent="0.15">
      <c r="A28" s="31" t="s">
        <v>38</v>
      </c>
      <c r="B28" s="90">
        <v>74</v>
      </c>
      <c r="C28" s="90">
        <v>59.2</v>
      </c>
      <c r="D28" s="90">
        <v>74</v>
      </c>
      <c r="E28" s="90">
        <v>59.2</v>
      </c>
      <c r="F28" s="90">
        <v>74</v>
      </c>
      <c r="G28" s="90">
        <v>59.2</v>
      </c>
      <c r="H28" s="94">
        <v>74</v>
      </c>
      <c r="I28" s="94">
        <v>74</v>
      </c>
      <c r="J28" s="94">
        <v>74</v>
      </c>
      <c r="K28" s="94">
        <v>74</v>
      </c>
      <c r="L28" s="94">
        <v>74</v>
      </c>
      <c r="M28" s="94">
        <v>74</v>
      </c>
      <c r="N28" s="65">
        <v>96</v>
      </c>
      <c r="O28" s="65">
        <v>77</v>
      </c>
      <c r="P28" s="65">
        <v>96</v>
      </c>
      <c r="Q28" s="65">
        <v>77</v>
      </c>
      <c r="R28" s="65">
        <v>96</v>
      </c>
      <c r="S28" s="65">
        <v>77</v>
      </c>
      <c r="T28" s="94">
        <v>100</v>
      </c>
      <c r="U28" s="94">
        <v>100</v>
      </c>
      <c r="V28" s="94">
        <v>100</v>
      </c>
      <c r="W28" s="94">
        <v>100</v>
      </c>
      <c r="X28" s="94">
        <v>100</v>
      </c>
      <c r="Y28" s="94">
        <v>100</v>
      </c>
    </row>
    <row r="29" spans="1:25" x14ac:dyDescent="0.15">
      <c r="A29" s="31" t="s">
        <v>19</v>
      </c>
      <c r="B29" s="90">
        <v>94</v>
      </c>
      <c r="C29" s="90">
        <v>75.2</v>
      </c>
      <c r="D29" s="90">
        <v>94</v>
      </c>
      <c r="E29" s="90">
        <v>75.2</v>
      </c>
      <c r="F29" s="90">
        <v>94</v>
      </c>
      <c r="G29" s="90">
        <v>75</v>
      </c>
      <c r="H29" s="94">
        <v>94</v>
      </c>
      <c r="I29" s="94">
        <v>94</v>
      </c>
      <c r="J29" s="94">
        <v>94</v>
      </c>
      <c r="K29" s="94">
        <v>94</v>
      </c>
      <c r="L29" s="94">
        <v>94</v>
      </c>
      <c r="M29" s="94">
        <v>94</v>
      </c>
      <c r="N29" s="65">
        <v>112</v>
      </c>
      <c r="O29" s="65">
        <v>90</v>
      </c>
      <c r="P29" s="65">
        <v>112</v>
      </c>
      <c r="Q29" s="65">
        <v>90</v>
      </c>
      <c r="R29" s="65">
        <v>112</v>
      </c>
      <c r="S29" s="65">
        <v>90</v>
      </c>
      <c r="T29" s="94">
        <v>115</v>
      </c>
      <c r="U29" s="94">
        <v>115</v>
      </c>
      <c r="V29" s="94">
        <v>115</v>
      </c>
      <c r="W29" s="94">
        <v>115</v>
      </c>
      <c r="X29" s="94">
        <v>115</v>
      </c>
      <c r="Y29" s="94">
        <v>115</v>
      </c>
    </row>
    <row r="30" spans="1:25" x14ac:dyDescent="0.15">
      <c r="A30" s="31" t="s">
        <v>20</v>
      </c>
      <c r="B30" s="90">
        <f>C30/0.8</f>
        <v>100</v>
      </c>
      <c r="C30" s="90">
        <v>80</v>
      </c>
      <c r="D30" s="90">
        <f>E30/0.8</f>
        <v>100</v>
      </c>
      <c r="E30" s="90">
        <v>80</v>
      </c>
      <c r="F30" s="90">
        <f>G30/0.8</f>
        <v>100</v>
      </c>
      <c r="G30" s="90">
        <v>80</v>
      </c>
      <c r="H30" s="94">
        <v>100</v>
      </c>
      <c r="I30" s="94">
        <v>100</v>
      </c>
      <c r="J30" s="94">
        <v>100</v>
      </c>
      <c r="K30" s="94">
        <v>100</v>
      </c>
      <c r="L30" s="94">
        <v>100</v>
      </c>
      <c r="M30" s="94">
        <v>100</v>
      </c>
      <c r="N30" s="65">
        <f>O30/0.8</f>
        <v>120</v>
      </c>
      <c r="O30" s="65">
        <v>96</v>
      </c>
      <c r="P30" s="65">
        <f>Q30/0.8</f>
        <v>120</v>
      </c>
      <c r="Q30" s="65">
        <v>96</v>
      </c>
      <c r="R30" s="65">
        <f>S30/0.8</f>
        <v>120</v>
      </c>
      <c r="S30" s="65">
        <v>96</v>
      </c>
      <c r="T30" s="94">
        <v>120</v>
      </c>
      <c r="U30" s="94">
        <v>120</v>
      </c>
      <c r="V30" s="94">
        <v>120</v>
      </c>
      <c r="W30" s="94">
        <v>120</v>
      </c>
      <c r="X30" s="94">
        <v>120</v>
      </c>
      <c r="Y30" s="94">
        <v>120</v>
      </c>
    </row>
    <row r="31" spans="1:25" x14ac:dyDescent="0.15">
      <c r="A31" s="31" t="s">
        <v>21</v>
      </c>
      <c r="B31" s="90">
        <v>110</v>
      </c>
      <c r="C31" s="90">
        <v>88</v>
      </c>
      <c r="D31" s="90">
        <v>110</v>
      </c>
      <c r="E31" s="90">
        <v>88</v>
      </c>
      <c r="F31" s="90">
        <v>110</v>
      </c>
      <c r="G31" s="90">
        <v>88</v>
      </c>
      <c r="H31" s="94">
        <v>110</v>
      </c>
      <c r="I31" s="94">
        <v>110</v>
      </c>
      <c r="J31" s="94">
        <v>110</v>
      </c>
      <c r="K31" s="94">
        <v>110</v>
      </c>
      <c r="L31" s="94">
        <v>110</v>
      </c>
      <c r="M31" s="94">
        <v>110</v>
      </c>
      <c r="N31" s="65">
        <v>135</v>
      </c>
      <c r="O31" s="65">
        <v>108</v>
      </c>
      <c r="P31" s="65">
        <v>135</v>
      </c>
      <c r="Q31" s="65">
        <v>108</v>
      </c>
      <c r="R31" s="65">
        <v>135</v>
      </c>
      <c r="S31" s="65">
        <v>108</v>
      </c>
      <c r="T31" s="94">
        <v>135</v>
      </c>
      <c r="U31" s="94">
        <v>135</v>
      </c>
      <c r="V31" s="94">
        <v>135</v>
      </c>
      <c r="W31" s="94">
        <v>135</v>
      </c>
      <c r="X31" s="94">
        <v>135</v>
      </c>
      <c r="Y31" s="94">
        <v>135</v>
      </c>
    </row>
    <row r="32" spans="1:25" x14ac:dyDescent="0.15">
      <c r="A32" s="31" t="s">
        <v>22</v>
      </c>
      <c r="B32" s="90">
        <v>120</v>
      </c>
      <c r="C32" s="90">
        <v>96</v>
      </c>
      <c r="D32" s="90">
        <v>120</v>
      </c>
      <c r="E32" s="90">
        <v>96</v>
      </c>
      <c r="F32" s="90">
        <v>120</v>
      </c>
      <c r="G32" s="90">
        <v>96</v>
      </c>
      <c r="H32" s="94">
        <v>120</v>
      </c>
      <c r="I32" s="94">
        <v>120</v>
      </c>
      <c r="J32" s="94">
        <v>120</v>
      </c>
      <c r="K32" s="94">
        <v>120</v>
      </c>
      <c r="L32" s="94">
        <v>120</v>
      </c>
      <c r="M32" s="94">
        <v>120</v>
      </c>
      <c r="N32" s="65">
        <v>150</v>
      </c>
      <c r="O32" s="65">
        <v>120</v>
      </c>
      <c r="P32" s="65">
        <v>150</v>
      </c>
      <c r="Q32" s="65">
        <v>120</v>
      </c>
      <c r="R32" s="65">
        <v>150</v>
      </c>
      <c r="S32" s="65">
        <v>120</v>
      </c>
      <c r="T32" s="94">
        <v>150</v>
      </c>
      <c r="U32" s="94">
        <v>150</v>
      </c>
      <c r="V32" s="94">
        <v>150</v>
      </c>
      <c r="W32" s="94">
        <v>150</v>
      </c>
      <c r="X32" s="94">
        <v>150</v>
      </c>
      <c r="Y32" s="94">
        <v>150</v>
      </c>
    </row>
    <row r="33" spans="1:25" x14ac:dyDescent="0.15">
      <c r="A33" s="31" t="s">
        <v>23</v>
      </c>
      <c r="B33" s="90">
        <v>140</v>
      </c>
      <c r="C33" s="90">
        <v>112</v>
      </c>
      <c r="D33" s="90">
        <v>140</v>
      </c>
      <c r="E33" s="90">
        <v>112</v>
      </c>
      <c r="F33" s="90">
        <v>140</v>
      </c>
      <c r="G33" s="90">
        <v>112</v>
      </c>
      <c r="H33" s="94">
        <v>140</v>
      </c>
      <c r="I33" s="94">
        <v>140</v>
      </c>
      <c r="J33" s="94">
        <v>140</v>
      </c>
      <c r="K33" s="94">
        <v>140</v>
      </c>
      <c r="L33" s="94">
        <v>140</v>
      </c>
      <c r="M33" s="94">
        <v>140</v>
      </c>
      <c r="N33" s="65">
        <v>156.30000000000001</v>
      </c>
      <c r="O33" s="65">
        <v>125</v>
      </c>
      <c r="P33" s="65">
        <v>156.30000000000001</v>
      </c>
      <c r="Q33" s="65">
        <v>125</v>
      </c>
      <c r="R33" s="65">
        <v>156.30000000000001</v>
      </c>
      <c r="S33" s="65">
        <v>125</v>
      </c>
      <c r="T33" s="94">
        <v>156.30000000000001</v>
      </c>
      <c r="U33" s="94">
        <v>156.30000000000001</v>
      </c>
      <c r="V33" s="94">
        <v>156.30000000000001</v>
      </c>
      <c r="W33" s="94">
        <v>156.30000000000001</v>
      </c>
      <c r="X33" s="94">
        <v>156.30000000000001</v>
      </c>
      <c r="Y33" s="94">
        <v>156.30000000000001</v>
      </c>
    </row>
    <row r="34" spans="1:25" x14ac:dyDescent="0.15">
      <c r="A34" s="31" t="s">
        <v>24</v>
      </c>
      <c r="B34" s="39" t="s">
        <v>83</v>
      </c>
      <c r="C34" s="30" t="s">
        <v>84</v>
      </c>
      <c r="D34" s="30" t="s">
        <v>84</v>
      </c>
      <c r="E34" s="30" t="s">
        <v>84</v>
      </c>
      <c r="F34" s="30" t="s">
        <v>84</v>
      </c>
      <c r="G34" s="30" t="s">
        <v>84</v>
      </c>
      <c r="H34" s="28" t="s">
        <v>84</v>
      </c>
      <c r="I34" s="28" t="s">
        <v>84</v>
      </c>
      <c r="J34" s="28" t="s">
        <v>84</v>
      </c>
      <c r="K34" s="28" t="s">
        <v>84</v>
      </c>
      <c r="L34" s="28" t="s">
        <v>84</v>
      </c>
      <c r="M34" s="28" t="s">
        <v>84</v>
      </c>
      <c r="N34" s="35" t="s">
        <v>84</v>
      </c>
      <c r="O34" s="35" t="s">
        <v>84</v>
      </c>
      <c r="P34" s="35" t="s">
        <v>84</v>
      </c>
      <c r="Q34" s="49" t="s">
        <v>85</v>
      </c>
      <c r="R34" s="49" t="s">
        <v>85</v>
      </c>
      <c r="S34" s="35" t="s">
        <v>84</v>
      </c>
      <c r="T34" s="28" t="s">
        <v>84</v>
      </c>
      <c r="U34" s="28" t="s">
        <v>84</v>
      </c>
      <c r="V34" s="28" t="s">
        <v>84</v>
      </c>
      <c r="W34" s="28" t="s">
        <v>84</v>
      </c>
      <c r="X34" s="28" t="s">
        <v>84</v>
      </c>
      <c r="Y34" s="28" t="s">
        <v>84</v>
      </c>
    </row>
    <row r="35" spans="1:25" x14ac:dyDescent="0.15">
      <c r="A35" s="31" t="s">
        <v>25</v>
      </c>
      <c r="B35" s="30" t="s">
        <v>84</v>
      </c>
      <c r="C35" s="30" t="s">
        <v>84</v>
      </c>
      <c r="D35" s="30" t="s">
        <v>84</v>
      </c>
      <c r="E35" s="30" t="s">
        <v>84</v>
      </c>
      <c r="F35" s="30" t="s">
        <v>84</v>
      </c>
      <c r="G35" s="30" t="s">
        <v>84</v>
      </c>
      <c r="H35" s="28" t="s">
        <v>84</v>
      </c>
      <c r="I35" s="28" t="s">
        <v>84</v>
      </c>
      <c r="J35" s="28" t="s">
        <v>84</v>
      </c>
      <c r="K35" s="28" t="s">
        <v>84</v>
      </c>
      <c r="L35" s="28" t="s">
        <v>84</v>
      </c>
      <c r="M35" s="28" t="s">
        <v>84</v>
      </c>
      <c r="N35" s="35" t="s">
        <v>84</v>
      </c>
      <c r="O35" s="35" t="s">
        <v>84</v>
      </c>
      <c r="P35" s="35" t="s">
        <v>84</v>
      </c>
      <c r="Q35" s="35" t="s">
        <v>84</v>
      </c>
      <c r="R35" s="35" t="s">
        <v>84</v>
      </c>
      <c r="S35" s="35" t="s">
        <v>84</v>
      </c>
      <c r="T35" s="28" t="s">
        <v>84</v>
      </c>
      <c r="U35" s="28" t="s">
        <v>84</v>
      </c>
      <c r="V35" s="28" t="s">
        <v>84</v>
      </c>
      <c r="W35" s="28" t="s">
        <v>84</v>
      </c>
      <c r="X35" s="28" t="s">
        <v>84</v>
      </c>
      <c r="Y35" s="28" t="s">
        <v>84</v>
      </c>
    </row>
    <row r="37" spans="1:25" x14ac:dyDescent="0.15">
      <c r="A37" s="16" t="s">
        <v>56</v>
      </c>
    </row>
    <row r="38" spans="1:25" x14ac:dyDescent="0.15">
      <c r="A38" s="57" t="s">
        <v>113</v>
      </c>
    </row>
  </sheetData>
  <mergeCells count="54">
    <mergeCell ref="T5:U5"/>
    <mergeCell ref="T6:U6"/>
    <mergeCell ref="R3:S3"/>
    <mergeCell ref="T4:U4"/>
    <mergeCell ref="J6:K6"/>
    <mergeCell ref="L6:M6"/>
    <mergeCell ref="J3:K3"/>
    <mergeCell ref="L5:M5"/>
    <mergeCell ref="L3:M3"/>
    <mergeCell ref="T3:U3"/>
    <mergeCell ref="F7:G7"/>
    <mergeCell ref="N7:O7"/>
    <mergeCell ref="H7:I7"/>
    <mergeCell ref="J7:K7"/>
    <mergeCell ref="L7:M7"/>
    <mergeCell ref="T7:U7"/>
    <mergeCell ref="P7:Q7"/>
    <mergeCell ref="R7:S7"/>
    <mergeCell ref="B6:C6"/>
    <mergeCell ref="D6:E6"/>
    <mergeCell ref="F6:G6"/>
    <mergeCell ref="N6:O6"/>
    <mergeCell ref="P6:Q6"/>
    <mergeCell ref="R6:S6"/>
    <mergeCell ref="B7:C7"/>
    <mergeCell ref="D7:E7"/>
    <mergeCell ref="H6:I6"/>
    <mergeCell ref="A1:U1"/>
    <mergeCell ref="B3:C3"/>
    <mergeCell ref="D3:E3"/>
    <mergeCell ref="F3:G3"/>
    <mergeCell ref="N3:O3"/>
    <mergeCell ref="P3:Q3"/>
    <mergeCell ref="H3:I3"/>
    <mergeCell ref="B2:M2"/>
    <mergeCell ref="P5:Q5"/>
    <mergeCell ref="R5:S5"/>
    <mergeCell ref="B5:C5"/>
    <mergeCell ref="D5:E5"/>
    <mergeCell ref="F5:G5"/>
    <mergeCell ref="N5:O5"/>
    <mergeCell ref="H5:I5"/>
    <mergeCell ref="N2:Y2"/>
    <mergeCell ref="J5:K5"/>
    <mergeCell ref="V7:W7"/>
    <mergeCell ref="X7:Y7"/>
    <mergeCell ref="V3:W3"/>
    <mergeCell ref="X3:Y3"/>
    <mergeCell ref="V4:W4"/>
    <mergeCell ref="X4:Y4"/>
    <mergeCell ref="V5:W5"/>
    <mergeCell ref="X5:Y5"/>
    <mergeCell ref="V6:W6"/>
    <mergeCell ref="X6:Y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7"/>
  <sheetViews>
    <sheetView workbookViewId="0">
      <selection activeCell="H27" sqref="H27"/>
    </sheetView>
  </sheetViews>
  <sheetFormatPr defaultColWidth="9" defaultRowHeight="14.25" x14ac:dyDescent="0.15"/>
  <cols>
    <col min="1" max="1" width="16.5" customWidth="1"/>
    <col min="2" max="2" width="6.75" customWidth="1"/>
    <col min="3" max="4" width="7" customWidth="1"/>
    <col min="5" max="5" width="6.625" customWidth="1"/>
    <col min="6" max="6" width="6.75" customWidth="1"/>
    <col min="7" max="9" width="7.25" customWidth="1"/>
    <col min="10" max="10" width="6.625" customWidth="1"/>
    <col min="11" max="11" width="7.125" customWidth="1"/>
    <col min="12" max="12" width="7.375" customWidth="1"/>
    <col min="13" max="13" width="6.875" customWidth="1"/>
    <col min="14" max="14" width="7.5" customWidth="1"/>
    <col min="15" max="15" width="6.5" customWidth="1"/>
    <col min="16" max="16" width="7.25" customWidth="1"/>
    <col min="17" max="17" width="6.75" customWidth="1"/>
    <col min="18" max="18" width="7.25" customWidth="1"/>
  </cols>
  <sheetData>
    <row r="1" spans="1:17" ht="24.75" customHeight="1" x14ac:dyDescent="0.15">
      <c r="A1" s="132" t="s">
        <v>88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</row>
    <row r="2" spans="1:17" ht="14.1" customHeight="1" x14ac:dyDescent="0.15">
      <c r="A2" s="24" t="s">
        <v>68</v>
      </c>
      <c r="B2" s="128" t="s">
        <v>109</v>
      </c>
      <c r="C2" s="164"/>
      <c r="D2" s="164"/>
      <c r="E2" s="164"/>
      <c r="F2" s="164"/>
      <c r="G2" s="164"/>
      <c r="H2" s="164"/>
      <c r="I2" s="129"/>
      <c r="J2" s="162" t="s">
        <v>110</v>
      </c>
      <c r="K2" s="162"/>
      <c r="L2" s="162"/>
      <c r="M2" s="162"/>
      <c r="N2" s="162"/>
      <c r="O2" s="162"/>
      <c r="P2" s="162"/>
      <c r="Q2" s="163"/>
    </row>
    <row r="3" spans="1:17" ht="14.1" customHeight="1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28">
        <v>0.8</v>
      </c>
      <c r="I3" s="129"/>
      <c r="J3" s="130">
        <v>0.8</v>
      </c>
      <c r="K3" s="131"/>
      <c r="L3" s="130">
        <v>0.8</v>
      </c>
      <c r="M3" s="131"/>
      <c r="N3" s="130">
        <v>0.8</v>
      </c>
      <c r="O3" s="131"/>
      <c r="P3" s="130">
        <v>0.8</v>
      </c>
      <c r="Q3" s="131"/>
    </row>
    <row r="4" spans="1:17" ht="14.1" customHeight="1" x14ac:dyDescent="0.15">
      <c r="A4" s="24" t="s">
        <v>59</v>
      </c>
      <c r="B4" s="17"/>
      <c r="C4" s="18"/>
      <c r="D4" s="17"/>
      <c r="E4" s="18"/>
      <c r="F4" s="17"/>
      <c r="G4" s="18"/>
      <c r="H4" s="53"/>
      <c r="I4" s="53"/>
      <c r="J4" s="20"/>
      <c r="K4" s="21"/>
      <c r="L4" s="20"/>
      <c r="M4" s="21"/>
      <c r="N4" s="20"/>
      <c r="O4" s="21"/>
      <c r="P4" s="20"/>
      <c r="Q4" s="21"/>
    </row>
    <row r="5" spans="1:17" ht="14.1" customHeight="1" x14ac:dyDescent="0.15">
      <c r="A5" s="24" t="s">
        <v>60</v>
      </c>
      <c r="B5" s="137">
        <v>380</v>
      </c>
      <c r="C5" s="137"/>
      <c r="D5" s="137">
        <v>400</v>
      </c>
      <c r="E5" s="137"/>
      <c r="F5" s="137">
        <v>415</v>
      </c>
      <c r="G5" s="137"/>
      <c r="H5" s="128">
        <v>440</v>
      </c>
      <c r="I5" s="129"/>
      <c r="J5" s="126">
        <v>416</v>
      </c>
      <c r="K5" s="131"/>
      <c r="L5" s="149">
        <v>440</v>
      </c>
      <c r="M5" s="149"/>
      <c r="N5" s="130">
        <v>460</v>
      </c>
      <c r="O5" s="131"/>
      <c r="P5" s="149">
        <v>480</v>
      </c>
      <c r="Q5" s="149"/>
    </row>
    <row r="6" spans="1:17" ht="14.1" customHeight="1" x14ac:dyDescent="0.15">
      <c r="A6" s="24" t="s">
        <v>61</v>
      </c>
      <c r="B6" s="128">
        <v>190</v>
      </c>
      <c r="C6" s="129"/>
      <c r="D6" s="128">
        <v>200</v>
      </c>
      <c r="E6" s="129"/>
      <c r="F6" s="128">
        <v>208</v>
      </c>
      <c r="G6" s="129"/>
      <c r="H6" s="128">
        <v>220</v>
      </c>
      <c r="I6" s="129"/>
      <c r="J6" s="126">
        <v>208</v>
      </c>
      <c r="K6" s="127"/>
      <c r="L6" s="126">
        <v>220</v>
      </c>
      <c r="M6" s="127"/>
      <c r="N6" s="126">
        <v>230</v>
      </c>
      <c r="O6" s="127"/>
      <c r="P6" s="126">
        <v>240</v>
      </c>
      <c r="Q6" s="127"/>
    </row>
    <row r="7" spans="1:17" ht="14.1" customHeight="1" x14ac:dyDescent="0.15">
      <c r="A7" s="25" t="s">
        <v>62</v>
      </c>
      <c r="B7" s="128">
        <v>220</v>
      </c>
      <c r="C7" s="129"/>
      <c r="D7" s="128">
        <v>230</v>
      </c>
      <c r="E7" s="129"/>
      <c r="F7" s="128">
        <v>240</v>
      </c>
      <c r="G7" s="129"/>
      <c r="H7" s="128">
        <v>254</v>
      </c>
      <c r="I7" s="129"/>
      <c r="J7" s="126">
        <v>240</v>
      </c>
      <c r="K7" s="127"/>
      <c r="L7" s="126">
        <v>254</v>
      </c>
      <c r="M7" s="127"/>
      <c r="N7" s="126">
        <v>266</v>
      </c>
      <c r="O7" s="127"/>
      <c r="P7" s="126">
        <v>277</v>
      </c>
      <c r="Q7" s="127"/>
    </row>
    <row r="8" spans="1:17" ht="14.1" customHeight="1" x14ac:dyDescent="0.15">
      <c r="A8" s="25" t="s">
        <v>63</v>
      </c>
      <c r="B8" s="128">
        <v>11</v>
      </c>
      <c r="C8" s="129"/>
      <c r="D8" s="128">
        <v>11</v>
      </c>
      <c r="E8" s="129"/>
      <c r="F8" s="128">
        <v>11</v>
      </c>
      <c r="G8" s="129"/>
      <c r="H8" s="128">
        <v>11</v>
      </c>
      <c r="I8" s="129"/>
      <c r="J8" s="126">
        <v>11</v>
      </c>
      <c r="K8" s="127"/>
      <c r="L8" s="126">
        <v>11</v>
      </c>
      <c r="M8" s="127"/>
      <c r="N8" s="126">
        <v>11</v>
      </c>
      <c r="O8" s="127"/>
      <c r="P8" s="126">
        <v>11</v>
      </c>
      <c r="Q8" s="127"/>
    </row>
    <row r="9" spans="1:17" ht="14.1" customHeight="1" x14ac:dyDescent="0.15">
      <c r="A9" s="36" t="s">
        <v>64</v>
      </c>
      <c r="B9" s="19" t="s">
        <v>0</v>
      </c>
      <c r="C9" s="19" t="s">
        <v>1</v>
      </c>
      <c r="D9" s="19" t="s">
        <v>0</v>
      </c>
      <c r="E9" s="19" t="s">
        <v>1</v>
      </c>
      <c r="F9" s="19" t="s">
        <v>0</v>
      </c>
      <c r="G9" s="19" t="s">
        <v>1</v>
      </c>
      <c r="H9" s="19" t="s">
        <v>0</v>
      </c>
      <c r="I9" s="19" t="s">
        <v>1</v>
      </c>
      <c r="J9" s="23" t="s">
        <v>0</v>
      </c>
      <c r="K9" s="23" t="s">
        <v>1</v>
      </c>
      <c r="L9" s="23" t="s">
        <v>0</v>
      </c>
      <c r="M9" s="23" t="s">
        <v>1</v>
      </c>
      <c r="N9" s="23" t="s">
        <v>0</v>
      </c>
      <c r="O9" s="23" t="s">
        <v>1</v>
      </c>
      <c r="P9" s="23" t="s">
        <v>0</v>
      </c>
      <c r="Q9" s="23" t="s">
        <v>1</v>
      </c>
    </row>
    <row r="10" spans="1:17" ht="13.5" customHeight="1" x14ac:dyDescent="0.15">
      <c r="A10" s="31" t="s">
        <v>90</v>
      </c>
      <c r="B10" s="40">
        <v>12.5</v>
      </c>
      <c r="C10" s="40">
        <v>10</v>
      </c>
      <c r="D10" s="40">
        <v>12.5</v>
      </c>
      <c r="E10" s="40">
        <v>10</v>
      </c>
      <c r="F10" s="40">
        <v>12.5</v>
      </c>
      <c r="G10" s="40">
        <v>10</v>
      </c>
      <c r="H10" s="40">
        <v>12</v>
      </c>
      <c r="I10" s="40">
        <f>H10*0.8</f>
        <v>9.6000000000000014</v>
      </c>
      <c r="J10" s="41">
        <v>14.7</v>
      </c>
      <c r="K10" s="41">
        <v>11.8</v>
      </c>
      <c r="L10" s="41">
        <v>15.6</v>
      </c>
      <c r="M10" s="41">
        <v>12.5</v>
      </c>
      <c r="N10" s="41">
        <v>15.6</v>
      </c>
      <c r="O10" s="41">
        <v>12.5</v>
      </c>
      <c r="P10" s="41">
        <v>15.6</v>
      </c>
      <c r="Q10" s="41">
        <v>12.5</v>
      </c>
    </row>
    <row r="11" spans="1:17" ht="13.5" customHeight="1" x14ac:dyDescent="0.15">
      <c r="A11" s="31" t="s">
        <v>91</v>
      </c>
      <c r="B11" s="40">
        <v>15</v>
      </c>
      <c r="C11" s="40">
        <v>12</v>
      </c>
      <c r="D11" s="40">
        <v>15</v>
      </c>
      <c r="E11" s="40">
        <v>12</v>
      </c>
      <c r="F11" s="40">
        <v>15</v>
      </c>
      <c r="G11" s="40">
        <v>12</v>
      </c>
      <c r="H11" s="40">
        <v>14.5</v>
      </c>
      <c r="I11" s="40">
        <f t="shared" ref="I11:I17" si="0">H11*0.8</f>
        <v>11.600000000000001</v>
      </c>
      <c r="J11" s="41">
        <v>17.8</v>
      </c>
      <c r="K11" s="41">
        <v>14.2</v>
      </c>
      <c r="L11" s="41">
        <v>18.8</v>
      </c>
      <c r="M11" s="41">
        <v>15</v>
      </c>
      <c r="N11" s="41">
        <v>18.8</v>
      </c>
      <c r="O11" s="41">
        <v>15</v>
      </c>
      <c r="P11" s="41">
        <v>18.8</v>
      </c>
      <c r="Q11" s="41">
        <v>15</v>
      </c>
    </row>
    <row r="12" spans="1:17" ht="13.5" customHeight="1" x14ac:dyDescent="0.15">
      <c r="A12" s="31" t="s">
        <v>92</v>
      </c>
      <c r="B12" s="40">
        <v>17.5</v>
      </c>
      <c r="C12" s="40">
        <v>14</v>
      </c>
      <c r="D12" s="40">
        <v>17.5</v>
      </c>
      <c r="E12" s="40">
        <v>14</v>
      </c>
      <c r="F12" s="40">
        <v>17.5</v>
      </c>
      <c r="G12" s="40">
        <v>14</v>
      </c>
      <c r="H12" s="40">
        <v>16.5</v>
      </c>
      <c r="I12" s="40">
        <f t="shared" si="0"/>
        <v>13.200000000000001</v>
      </c>
      <c r="J12" s="41">
        <v>20.8</v>
      </c>
      <c r="K12" s="41">
        <v>16.600000000000001</v>
      </c>
      <c r="L12" s="41">
        <v>21.9</v>
      </c>
      <c r="M12" s="41">
        <v>17.5</v>
      </c>
      <c r="N12" s="41">
        <v>21.9</v>
      </c>
      <c r="O12" s="41">
        <v>17.5</v>
      </c>
      <c r="P12" s="41">
        <v>21.9</v>
      </c>
      <c r="Q12" s="41">
        <v>17.5</v>
      </c>
    </row>
    <row r="13" spans="1:17" ht="13.5" customHeight="1" x14ac:dyDescent="0.15">
      <c r="A13" s="31" t="s">
        <v>93</v>
      </c>
      <c r="B13" s="40">
        <v>25</v>
      </c>
      <c r="C13" s="40">
        <v>20</v>
      </c>
      <c r="D13" s="40">
        <v>25</v>
      </c>
      <c r="E13" s="40">
        <v>20</v>
      </c>
      <c r="F13" s="40">
        <v>25</v>
      </c>
      <c r="G13" s="40">
        <v>20</v>
      </c>
      <c r="H13" s="40">
        <v>22.5</v>
      </c>
      <c r="I13" s="40">
        <f t="shared" si="0"/>
        <v>18</v>
      </c>
      <c r="J13" s="41">
        <v>29.6</v>
      </c>
      <c r="K13" s="41">
        <v>23.7</v>
      </c>
      <c r="L13" s="41">
        <v>31.3</v>
      </c>
      <c r="M13" s="41">
        <v>25</v>
      </c>
      <c r="N13" s="41">
        <v>31.3</v>
      </c>
      <c r="O13" s="41">
        <v>25</v>
      </c>
      <c r="P13" s="41">
        <v>31.3</v>
      </c>
      <c r="Q13" s="41">
        <v>25</v>
      </c>
    </row>
    <row r="14" spans="1:17" ht="13.5" customHeight="1" x14ac:dyDescent="0.15">
      <c r="A14" s="31"/>
      <c r="B14" s="40"/>
      <c r="C14" s="40"/>
      <c r="D14" s="40"/>
      <c r="E14" s="40"/>
      <c r="F14" s="40"/>
      <c r="G14" s="40"/>
      <c r="H14" s="40"/>
      <c r="I14" s="40"/>
      <c r="J14" s="41"/>
      <c r="K14" s="41"/>
      <c r="L14" s="41"/>
      <c r="M14" s="41"/>
      <c r="N14" s="41"/>
      <c r="O14" s="41"/>
      <c r="P14" s="41"/>
      <c r="Q14" s="41"/>
    </row>
    <row r="15" spans="1:17" ht="13.5" customHeight="1" x14ac:dyDescent="0.15">
      <c r="A15" s="31" t="s">
        <v>94</v>
      </c>
      <c r="B15" s="40">
        <v>30</v>
      </c>
      <c r="C15" s="40">
        <v>24</v>
      </c>
      <c r="D15" s="40">
        <v>30</v>
      </c>
      <c r="E15" s="40">
        <v>24</v>
      </c>
      <c r="F15" s="40">
        <v>30</v>
      </c>
      <c r="G15" s="40">
        <v>24</v>
      </c>
      <c r="H15" s="40">
        <v>27</v>
      </c>
      <c r="I15" s="40">
        <f t="shared" si="0"/>
        <v>21.6</v>
      </c>
      <c r="J15" s="41">
        <v>33</v>
      </c>
      <c r="K15" s="41">
        <v>26.4</v>
      </c>
      <c r="L15" s="41">
        <v>35</v>
      </c>
      <c r="M15" s="41">
        <v>28</v>
      </c>
      <c r="N15" s="41">
        <v>35</v>
      </c>
      <c r="O15" s="41">
        <v>28</v>
      </c>
      <c r="P15" s="41">
        <v>35</v>
      </c>
      <c r="Q15" s="41">
        <v>28</v>
      </c>
    </row>
    <row r="16" spans="1:17" ht="13.5" customHeight="1" x14ac:dyDescent="0.15">
      <c r="A16" s="31" t="s">
        <v>95</v>
      </c>
      <c r="B16" s="40">
        <v>35</v>
      </c>
      <c r="C16" s="40">
        <v>28</v>
      </c>
      <c r="D16" s="40">
        <v>35</v>
      </c>
      <c r="E16" s="40">
        <v>28</v>
      </c>
      <c r="F16" s="40">
        <v>35</v>
      </c>
      <c r="G16" s="40">
        <v>28</v>
      </c>
      <c r="H16" s="40">
        <v>30.8</v>
      </c>
      <c r="I16" s="40">
        <f t="shared" si="0"/>
        <v>24.64</v>
      </c>
      <c r="J16" s="41">
        <v>37.799999999999997</v>
      </c>
      <c r="K16" s="41">
        <v>30.2</v>
      </c>
      <c r="L16" s="41">
        <v>40</v>
      </c>
      <c r="M16" s="41">
        <v>32</v>
      </c>
      <c r="N16" s="41">
        <v>40</v>
      </c>
      <c r="O16" s="41">
        <v>32</v>
      </c>
      <c r="P16" s="41">
        <v>40</v>
      </c>
      <c r="Q16" s="41">
        <v>32</v>
      </c>
    </row>
    <row r="17" spans="1:17" ht="13.5" customHeight="1" x14ac:dyDescent="0.15">
      <c r="A17" s="31" t="s">
        <v>96</v>
      </c>
      <c r="B17" s="40">
        <v>37.5</v>
      </c>
      <c r="C17" s="40">
        <v>30</v>
      </c>
      <c r="D17" s="40">
        <v>37.5</v>
      </c>
      <c r="E17" s="40">
        <v>30</v>
      </c>
      <c r="F17" s="40">
        <v>37.5</v>
      </c>
      <c r="G17" s="40">
        <v>30</v>
      </c>
      <c r="H17" s="40">
        <v>35</v>
      </c>
      <c r="I17" s="40">
        <f t="shared" si="0"/>
        <v>28</v>
      </c>
      <c r="J17" s="41">
        <v>44.3</v>
      </c>
      <c r="K17" s="41">
        <v>35.4</v>
      </c>
      <c r="L17" s="41">
        <v>46.9</v>
      </c>
      <c r="M17" s="41">
        <v>37.5</v>
      </c>
      <c r="N17" s="41">
        <v>46.9</v>
      </c>
      <c r="O17" s="41">
        <v>37.5</v>
      </c>
      <c r="P17" s="41">
        <v>46.9</v>
      </c>
      <c r="Q17" s="41">
        <v>37.5</v>
      </c>
    </row>
    <row r="18" spans="1:17" hidden="1" x14ac:dyDescent="0.15">
      <c r="A18" s="6"/>
      <c r="B18" s="6"/>
      <c r="C18" s="5"/>
      <c r="D18" s="6"/>
      <c r="E18" s="5"/>
      <c r="F18" s="6"/>
      <c r="G18" s="5"/>
      <c r="H18" s="5"/>
      <c r="I18" s="5"/>
      <c r="J18" s="4"/>
      <c r="K18" s="4"/>
      <c r="L18" s="4"/>
      <c r="M18" s="4"/>
      <c r="N18" s="4"/>
      <c r="O18" s="4"/>
      <c r="P18" s="4"/>
      <c r="Q18" s="4"/>
    </row>
    <row r="19" spans="1:17" hidden="1" x14ac:dyDescent="0.15">
      <c r="A19" s="2"/>
      <c r="B19" s="6"/>
      <c r="C19" s="8"/>
      <c r="D19" s="6"/>
      <c r="E19" s="8"/>
      <c r="F19" s="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hidden="1" x14ac:dyDescent="0.15">
      <c r="A20" s="2"/>
      <c r="B20" s="6"/>
      <c r="C20" s="7"/>
      <c r="D20" s="6"/>
      <c r="E20" s="7"/>
      <c r="F20" s="6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</row>
    <row r="21" spans="1:17" hidden="1" x14ac:dyDescent="0.15">
      <c r="A21" s="2"/>
      <c r="B21" s="6"/>
      <c r="C21" s="7"/>
      <c r="D21" s="6"/>
      <c r="E21" s="7"/>
      <c r="F21" s="6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</row>
    <row r="22" spans="1:17" hidden="1" x14ac:dyDescent="0.15">
      <c r="A22" s="2"/>
      <c r="B22" s="6"/>
      <c r="C22" s="7"/>
      <c r="D22" s="6"/>
      <c r="E22" s="7"/>
      <c r="F22" s="6"/>
      <c r="G22" s="7"/>
      <c r="H22" s="7"/>
      <c r="I22" s="7"/>
      <c r="J22" s="8"/>
      <c r="K22" s="8"/>
      <c r="L22" s="8"/>
      <c r="M22" s="8"/>
      <c r="N22" s="8"/>
      <c r="O22" s="8"/>
      <c r="P22" s="8"/>
      <c r="Q22" s="8"/>
    </row>
    <row r="24" spans="1:17" x14ac:dyDescent="0.15">
      <c r="A24" s="16" t="s">
        <v>56</v>
      </c>
    </row>
    <row r="25" spans="1:17" x14ac:dyDescent="0.15">
      <c r="A25" s="57" t="s">
        <v>113</v>
      </c>
    </row>
    <row r="27" spans="1:17" x14ac:dyDescent="0.15">
      <c r="A27" s="3"/>
    </row>
  </sheetData>
  <mergeCells count="43">
    <mergeCell ref="H8:I8"/>
    <mergeCell ref="B2:I2"/>
    <mergeCell ref="N3:O3"/>
    <mergeCell ref="P3:Q3"/>
    <mergeCell ref="B3:C3"/>
    <mergeCell ref="D3:E3"/>
    <mergeCell ref="F3:G3"/>
    <mergeCell ref="J3:K3"/>
    <mergeCell ref="L3:M3"/>
    <mergeCell ref="H3:I3"/>
    <mergeCell ref="L5:M5"/>
    <mergeCell ref="N5:O5"/>
    <mergeCell ref="P5:Q5"/>
    <mergeCell ref="B5:C5"/>
    <mergeCell ref="D5:E5"/>
    <mergeCell ref="F5:G5"/>
    <mergeCell ref="J5:K5"/>
    <mergeCell ref="H5:I5"/>
    <mergeCell ref="L6:M6"/>
    <mergeCell ref="N6:O6"/>
    <mergeCell ref="P6:Q6"/>
    <mergeCell ref="B6:C6"/>
    <mergeCell ref="D6:E6"/>
    <mergeCell ref="F6:G6"/>
    <mergeCell ref="J6:K6"/>
    <mergeCell ref="H6:I6"/>
    <mergeCell ref="N7:O7"/>
    <mergeCell ref="P7:Q7"/>
    <mergeCell ref="B7:C7"/>
    <mergeCell ref="D7:E7"/>
    <mergeCell ref="F7:G7"/>
    <mergeCell ref="J7:K7"/>
    <mergeCell ref="H7:I7"/>
    <mergeCell ref="L8:M8"/>
    <mergeCell ref="N8:O8"/>
    <mergeCell ref="P8:Q8"/>
    <mergeCell ref="A1:Q1"/>
    <mergeCell ref="J2:Q2"/>
    <mergeCell ref="B8:C8"/>
    <mergeCell ref="D8:E8"/>
    <mergeCell ref="F8:G8"/>
    <mergeCell ref="J8:K8"/>
    <mergeCell ref="L7:M7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9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9"/>
  <sheetViews>
    <sheetView zoomScale="90" zoomScaleNormal="90" workbookViewId="0">
      <selection activeCell="D22" sqref="D22"/>
    </sheetView>
  </sheetViews>
  <sheetFormatPr defaultRowHeight="14.25" x14ac:dyDescent="0.15"/>
  <cols>
    <col min="1" max="1" width="13.375" customWidth="1"/>
    <col min="2" max="25" width="7.375" customWidth="1"/>
  </cols>
  <sheetData>
    <row r="1" spans="1:25" ht="18.75" x14ac:dyDescent="0.15">
      <c r="A1" s="132" t="s">
        <v>89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5" x14ac:dyDescent="0.15">
      <c r="A2" s="24" t="s">
        <v>68</v>
      </c>
      <c r="B2" s="128" t="s">
        <v>111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1"/>
      <c r="N2" s="130" t="s">
        <v>112</v>
      </c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3"/>
    </row>
    <row r="3" spans="1:25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56">
        <v>1</v>
      </c>
      <c r="I3" s="157"/>
      <c r="J3" s="156">
        <v>1</v>
      </c>
      <c r="K3" s="157"/>
      <c r="L3" s="156">
        <v>1</v>
      </c>
      <c r="M3" s="157"/>
      <c r="N3" s="130">
        <v>0.8</v>
      </c>
      <c r="O3" s="131"/>
      <c r="P3" s="130">
        <v>0.8</v>
      </c>
      <c r="Q3" s="131"/>
      <c r="R3" s="130">
        <v>0.8</v>
      </c>
      <c r="S3" s="131"/>
      <c r="T3" s="147">
        <v>1</v>
      </c>
      <c r="U3" s="146"/>
      <c r="V3" s="144">
        <v>1</v>
      </c>
      <c r="W3" s="144"/>
      <c r="X3" s="145">
        <v>1</v>
      </c>
      <c r="Y3" s="146"/>
    </row>
    <row r="4" spans="1:25" x14ac:dyDescent="0.15">
      <c r="A4" s="24" t="s">
        <v>59</v>
      </c>
      <c r="B4" s="17"/>
      <c r="C4" s="18"/>
      <c r="D4" s="17"/>
      <c r="E4" s="18"/>
      <c r="F4" s="17"/>
      <c r="G4" s="18"/>
      <c r="H4" s="45"/>
      <c r="I4" s="45"/>
      <c r="J4" s="45"/>
      <c r="K4" s="45"/>
      <c r="L4" s="45"/>
      <c r="M4" s="45"/>
      <c r="N4" s="20"/>
      <c r="O4" s="21"/>
      <c r="P4" s="20"/>
      <c r="Q4" s="21"/>
      <c r="R4" s="20"/>
      <c r="S4" s="21"/>
      <c r="T4" s="147"/>
      <c r="U4" s="146"/>
      <c r="V4" s="144"/>
      <c r="W4" s="144"/>
      <c r="X4" s="145"/>
      <c r="Y4" s="146"/>
    </row>
    <row r="5" spans="1:25" x14ac:dyDescent="0.15">
      <c r="A5" s="37" t="s">
        <v>79</v>
      </c>
      <c r="B5" s="137">
        <v>220</v>
      </c>
      <c r="C5" s="137"/>
      <c r="D5" s="137">
        <v>230</v>
      </c>
      <c r="E5" s="137"/>
      <c r="F5" s="137">
        <v>240</v>
      </c>
      <c r="G5" s="137"/>
      <c r="H5" s="150">
        <v>220</v>
      </c>
      <c r="I5" s="150"/>
      <c r="J5" s="150">
        <v>230</v>
      </c>
      <c r="K5" s="150"/>
      <c r="L5" s="150">
        <v>240</v>
      </c>
      <c r="M5" s="150"/>
      <c r="N5" s="126">
        <v>220</v>
      </c>
      <c r="O5" s="131"/>
      <c r="P5" s="149">
        <v>230</v>
      </c>
      <c r="Q5" s="149"/>
      <c r="R5" s="130">
        <v>240</v>
      </c>
      <c r="S5" s="131"/>
      <c r="T5" s="147">
        <v>220</v>
      </c>
      <c r="U5" s="146"/>
      <c r="V5" s="144">
        <v>230</v>
      </c>
      <c r="W5" s="144"/>
      <c r="X5" s="145">
        <v>240</v>
      </c>
      <c r="Y5" s="146"/>
    </row>
    <row r="6" spans="1:25" x14ac:dyDescent="0.15">
      <c r="A6" s="38" t="s">
        <v>80</v>
      </c>
      <c r="B6" s="137">
        <f>B5/2</f>
        <v>110</v>
      </c>
      <c r="C6" s="137"/>
      <c r="D6" s="137">
        <f>D5/2</f>
        <v>115</v>
      </c>
      <c r="E6" s="137"/>
      <c r="F6" s="137">
        <f>F5/2</f>
        <v>120</v>
      </c>
      <c r="G6" s="137"/>
      <c r="H6" s="150">
        <f>H5/2</f>
        <v>110</v>
      </c>
      <c r="I6" s="150"/>
      <c r="J6" s="150">
        <f>J5/2</f>
        <v>115</v>
      </c>
      <c r="K6" s="150"/>
      <c r="L6" s="150">
        <f>L5/2</f>
        <v>120</v>
      </c>
      <c r="M6" s="150"/>
      <c r="N6" s="126">
        <f>N5/2</f>
        <v>110</v>
      </c>
      <c r="O6" s="131"/>
      <c r="P6" s="126">
        <f>P5/2</f>
        <v>115</v>
      </c>
      <c r="Q6" s="131"/>
      <c r="R6" s="126">
        <f>R5/2</f>
        <v>120</v>
      </c>
      <c r="S6" s="131"/>
      <c r="T6" s="147">
        <f>T5/2</f>
        <v>110</v>
      </c>
      <c r="U6" s="146"/>
      <c r="V6" s="147">
        <f>V5/2</f>
        <v>115</v>
      </c>
      <c r="W6" s="146"/>
      <c r="X6" s="147">
        <f>X5/2</f>
        <v>120</v>
      </c>
      <c r="Y6" s="146"/>
    </row>
    <row r="7" spans="1:25" x14ac:dyDescent="0.15">
      <c r="A7" s="25" t="s">
        <v>63</v>
      </c>
      <c r="B7" s="154" t="s">
        <v>76</v>
      </c>
      <c r="C7" s="155"/>
      <c r="D7" s="154" t="s">
        <v>76</v>
      </c>
      <c r="E7" s="155"/>
      <c r="F7" s="154" t="s">
        <v>76</v>
      </c>
      <c r="G7" s="155"/>
      <c r="H7" s="160" t="s">
        <v>77</v>
      </c>
      <c r="I7" s="161"/>
      <c r="J7" s="160" t="s">
        <v>77</v>
      </c>
      <c r="K7" s="161"/>
      <c r="L7" s="160" t="s">
        <v>77</v>
      </c>
      <c r="M7" s="161"/>
      <c r="N7" s="158" t="s">
        <v>78</v>
      </c>
      <c r="O7" s="159"/>
      <c r="P7" s="158" t="s">
        <v>78</v>
      </c>
      <c r="Q7" s="159"/>
      <c r="R7" s="158" t="s">
        <v>78</v>
      </c>
      <c r="S7" s="159"/>
      <c r="T7" s="142" t="s">
        <v>78</v>
      </c>
      <c r="U7" s="143"/>
      <c r="V7" s="142" t="s">
        <v>78</v>
      </c>
      <c r="W7" s="143"/>
      <c r="X7" s="142" t="s">
        <v>78</v>
      </c>
      <c r="Y7" s="143"/>
    </row>
    <row r="8" spans="1:25" x14ac:dyDescent="0.15">
      <c r="A8" s="36" t="s">
        <v>64</v>
      </c>
      <c r="B8" s="19" t="s">
        <v>0</v>
      </c>
      <c r="C8" s="19" t="s">
        <v>1</v>
      </c>
      <c r="D8" s="19" t="s">
        <v>0</v>
      </c>
      <c r="E8" s="19" t="s">
        <v>1</v>
      </c>
      <c r="F8" s="19" t="s">
        <v>0</v>
      </c>
      <c r="G8" s="19" t="s">
        <v>1</v>
      </c>
      <c r="H8" s="46" t="s">
        <v>0</v>
      </c>
      <c r="I8" s="46" t="s">
        <v>1</v>
      </c>
      <c r="J8" s="46" t="s">
        <v>0</v>
      </c>
      <c r="K8" s="46" t="s">
        <v>1</v>
      </c>
      <c r="L8" s="46" t="s">
        <v>0</v>
      </c>
      <c r="M8" s="46" t="s">
        <v>1</v>
      </c>
      <c r="N8" s="23" t="s">
        <v>0</v>
      </c>
      <c r="O8" s="23" t="s">
        <v>1</v>
      </c>
      <c r="P8" s="23" t="s">
        <v>0</v>
      </c>
      <c r="Q8" s="23" t="s">
        <v>1</v>
      </c>
      <c r="R8" s="23" t="s">
        <v>0</v>
      </c>
      <c r="S8" s="23" t="s">
        <v>1</v>
      </c>
      <c r="T8" s="50" t="s">
        <v>0</v>
      </c>
      <c r="U8" s="50" t="s">
        <v>1</v>
      </c>
      <c r="V8" s="50" t="s">
        <v>0</v>
      </c>
      <c r="W8" s="50" t="s">
        <v>1</v>
      </c>
      <c r="X8" s="50" t="s">
        <v>0</v>
      </c>
      <c r="Y8" s="50" t="s">
        <v>1</v>
      </c>
    </row>
    <row r="9" spans="1:25" x14ac:dyDescent="0.15">
      <c r="A9" s="51" t="s">
        <v>97</v>
      </c>
      <c r="B9" s="40">
        <v>8.4</v>
      </c>
      <c r="C9" s="40">
        <v>6.7</v>
      </c>
      <c r="D9" s="40">
        <v>8.4</v>
      </c>
      <c r="E9" s="40">
        <v>6.7</v>
      </c>
      <c r="F9" s="40">
        <v>8.4</v>
      </c>
      <c r="G9" s="40">
        <v>6.7</v>
      </c>
      <c r="H9" s="41">
        <v>9.6</v>
      </c>
      <c r="I9" s="41">
        <v>9.6</v>
      </c>
      <c r="J9" s="41">
        <v>9.6</v>
      </c>
      <c r="K9" s="41">
        <v>9.6</v>
      </c>
      <c r="L9" s="41">
        <v>10</v>
      </c>
      <c r="M9" s="41">
        <v>10</v>
      </c>
      <c r="N9" s="47">
        <v>10</v>
      </c>
      <c r="O9" s="47">
        <v>8</v>
      </c>
      <c r="P9" s="47">
        <v>10</v>
      </c>
      <c r="Q9" s="47">
        <v>8</v>
      </c>
      <c r="R9" s="47">
        <v>10</v>
      </c>
      <c r="S9" s="47">
        <v>8</v>
      </c>
      <c r="T9" s="41">
        <v>11.5</v>
      </c>
      <c r="U9" s="41">
        <v>11.5</v>
      </c>
      <c r="V9" s="41">
        <v>11.5</v>
      </c>
      <c r="W9" s="41">
        <v>11.5</v>
      </c>
      <c r="X9" s="41">
        <v>12</v>
      </c>
      <c r="Y9" s="41">
        <v>12</v>
      </c>
    </row>
    <row r="10" spans="1:25" x14ac:dyDescent="0.15">
      <c r="A10" s="51" t="s">
        <v>98</v>
      </c>
      <c r="B10" s="40">
        <v>10</v>
      </c>
      <c r="C10" s="40">
        <v>8</v>
      </c>
      <c r="D10" s="40">
        <v>10</v>
      </c>
      <c r="E10" s="40">
        <v>8</v>
      </c>
      <c r="F10" s="40">
        <v>10</v>
      </c>
      <c r="G10" s="40">
        <v>8</v>
      </c>
      <c r="H10" s="41">
        <v>11.5</v>
      </c>
      <c r="I10" s="41">
        <v>11.5</v>
      </c>
      <c r="J10" s="41">
        <v>11.5</v>
      </c>
      <c r="K10" s="41">
        <v>11.5</v>
      </c>
      <c r="L10" s="41">
        <v>12</v>
      </c>
      <c r="M10" s="41">
        <v>12</v>
      </c>
      <c r="N10" s="47">
        <v>12.4</v>
      </c>
      <c r="O10" s="47">
        <v>9.9</v>
      </c>
      <c r="P10" s="47">
        <v>12.4</v>
      </c>
      <c r="Q10" s="47">
        <v>9.9</v>
      </c>
      <c r="R10" s="47">
        <v>12.4</v>
      </c>
      <c r="S10" s="47">
        <v>9.9</v>
      </c>
      <c r="T10" s="41">
        <v>12.8</v>
      </c>
      <c r="U10" s="41">
        <v>12.8</v>
      </c>
      <c r="V10" s="41">
        <v>12.8</v>
      </c>
      <c r="W10" s="41">
        <v>12.8</v>
      </c>
      <c r="X10" s="41">
        <v>15</v>
      </c>
      <c r="Y10" s="41">
        <v>15</v>
      </c>
    </row>
    <row r="11" spans="1:25" x14ac:dyDescent="0.15">
      <c r="A11" s="51" t="s">
        <v>99</v>
      </c>
      <c r="B11" s="40">
        <v>11.8</v>
      </c>
      <c r="C11" s="40">
        <v>9.4</v>
      </c>
      <c r="D11" s="40">
        <v>11.8</v>
      </c>
      <c r="E11" s="40">
        <v>9.4</v>
      </c>
      <c r="F11" s="40">
        <v>11.8</v>
      </c>
      <c r="G11" s="40">
        <v>9.4</v>
      </c>
      <c r="H11" s="41">
        <v>13.5</v>
      </c>
      <c r="I11" s="41">
        <v>13.5</v>
      </c>
      <c r="J11" s="41">
        <v>13.5</v>
      </c>
      <c r="K11" s="41">
        <v>13.5</v>
      </c>
      <c r="L11" s="41">
        <v>14.5</v>
      </c>
      <c r="M11" s="41">
        <v>14.5</v>
      </c>
      <c r="N11" s="47">
        <v>14.4</v>
      </c>
      <c r="O11" s="47">
        <v>11.5</v>
      </c>
      <c r="P11" s="47">
        <v>14.4</v>
      </c>
      <c r="Q11" s="47">
        <v>11.5</v>
      </c>
      <c r="R11" s="47">
        <v>14.4</v>
      </c>
      <c r="S11" s="47">
        <v>11.5</v>
      </c>
      <c r="T11" s="41">
        <v>16.600000000000001</v>
      </c>
      <c r="U11" s="41">
        <v>16.600000000000001</v>
      </c>
      <c r="V11" s="41">
        <v>16.600000000000001</v>
      </c>
      <c r="W11" s="41">
        <v>16.600000000000001</v>
      </c>
      <c r="X11" s="41">
        <v>17.5</v>
      </c>
      <c r="Y11" s="41">
        <v>17.5</v>
      </c>
    </row>
    <row r="12" spans="1:25" x14ac:dyDescent="0.15">
      <c r="A12" s="51" t="s">
        <v>100</v>
      </c>
      <c r="B12" s="40">
        <v>16.8</v>
      </c>
      <c r="C12" s="40">
        <v>13.4</v>
      </c>
      <c r="D12" s="40">
        <v>16.8</v>
      </c>
      <c r="E12" s="40">
        <v>13.4</v>
      </c>
      <c r="F12" s="40">
        <v>16.8</v>
      </c>
      <c r="G12" s="40">
        <v>13.4</v>
      </c>
      <c r="H12" s="41">
        <v>17.5</v>
      </c>
      <c r="I12" s="41">
        <v>17.5</v>
      </c>
      <c r="J12" s="41">
        <v>18.5</v>
      </c>
      <c r="K12" s="41">
        <v>18.5</v>
      </c>
      <c r="L12" s="41">
        <v>19.3</v>
      </c>
      <c r="M12" s="41">
        <v>19.3</v>
      </c>
      <c r="N12" s="47">
        <v>20.6</v>
      </c>
      <c r="O12" s="47">
        <v>16.5</v>
      </c>
      <c r="P12" s="47">
        <v>20.6</v>
      </c>
      <c r="Q12" s="47">
        <v>16.5</v>
      </c>
      <c r="R12" s="47">
        <v>20.6</v>
      </c>
      <c r="S12" s="47">
        <v>16.5</v>
      </c>
      <c r="T12" s="41">
        <v>23.7</v>
      </c>
      <c r="U12" s="41">
        <v>23.7</v>
      </c>
      <c r="V12" s="41">
        <v>23.7</v>
      </c>
      <c r="W12" s="41">
        <v>23.7</v>
      </c>
      <c r="X12" s="41">
        <v>22</v>
      </c>
      <c r="Y12" s="41">
        <v>22</v>
      </c>
    </row>
    <row r="13" spans="1:25" x14ac:dyDescent="0.15">
      <c r="A13" s="31"/>
      <c r="B13" s="40"/>
      <c r="C13" s="40"/>
      <c r="D13" s="40"/>
      <c r="E13" s="40"/>
      <c r="F13" s="40"/>
      <c r="G13" s="40"/>
      <c r="H13" s="41"/>
      <c r="I13" s="41"/>
      <c r="J13" s="41"/>
      <c r="K13" s="41"/>
      <c r="L13" s="41"/>
      <c r="M13" s="41"/>
      <c r="N13" s="47"/>
      <c r="O13" s="47"/>
      <c r="P13" s="47"/>
      <c r="Q13" s="47"/>
      <c r="R13" s="47"/>
      <c r="S13" s="47"/>
      <c r="T13" s="41"/>
      <c r="U13" s="41"/>
      <c r="V13" s="41"/>
      <c r="W13" s="41"/>
      <c r="X13" s="41"/>
      <c r="Y13" s="41"/>
    </row>
    <row r="14" spans="1:25" x14ac:dyDescent="0.15">
      <c r="A14" s="51" t="s">
        <v>101</v>
      </c>
      <c r="B14" s="40">
        <v>20</v>
      </c>
      <c r="C14" s="40">
        <v>16</v>
      </c>
      <c r="D14" s="40">
        <v>20</v>
      </c>
      <c r="E14" s="40">
        <v>16</v>
      </c>
      <c r="F14" s="40">
        <v>20</v>
      </c>
      <c r="G14" s="40">
        <v>16</v>
      </c>
      <c r="H14" s="41">
        <v>20</v>
      </c>
      <c r="I14" s="41">
        <v>20</v>
      </c>
      <c r="J14" s="41">
        <v>20</v>
      </c>
      <c r="K14" s="41">
        <v>20</v>
      </c>
      <c r="L14" s="41">
        <v>20</v>
      </c>
      <c r="M14" s="41">
        <v>20</v>
      </c>
      <c r="N14" s="47">
        <v>24.8</v>
      </c>
      <c r="O14" s="47">
        <v>19.8</v>
      </c>
      <c r="P14" s="47">
        <v>24.8</v>
      </c>
      <c r="Q14" s="47">
        <v>19.8</v>
      </c>
      <c r="R14" s="47">
        <v>24.8</v>
      </c>
      <c r="S14" s="47">
        <v>19.8</v>
      </c>
      <c r="T14" s="41">
        <v>24.8</v>
      </c>
      <c r="U14" s="41">
        <v>24.8</v>
      </c>
      <c r="V14" s="41">
        <v>24.8</v>
      </c>
      <c r="W14" s="41">
        <v>24.8</v>
      </c>
      <c r="X14" s="41">
        <v>24.8</v>
      </c>
      <c r="Y14" s="41">
        <v>24.8</v>
      </c>
    </row>
    <row r="15" spans="1:25" x14ac:dyDescent="0.15">
      <c r="A15" s="51" t="s">
        <v>102</v>
      </c>
      <c r="B15" s="40">
        <v>23.5</v>
      </c>
      <c r="C15" s="40">
        <v>18.8</v>
      </c>
      <c r="D15" s="40">
        <v>23.5</v>
      </c>
      <c r="E15" s="40">
        <v>18.8</v>
      </c>
      <c r="F15" s="40">
        <v>23.5</v>
      </c>
      <c r="G15" s="40">
        <v>18.8</v>
      </c>
      <c r="H15" s="41">
        <v>23.5</v>
      </c>
      <c r="I15" s="41">
        <v>23.5</v>
      </c>
      <c r="J15" s="41">
        <v>23.5</v>
      </c>
      <c r="K15" s="41">
        <v>23.5</v>
      </c>
      <c r="L15" s="41">
        <v>23.5</v>
      </c>
      <c r="M15" s="41">
        <v>23.5</v>
      </c>
      <c r="N15" s="47">
        <v>28.9</v>
      </c>
      <c r="O15" s="47">
        <v>23.1</v>
      </c>
      <c r="P15" s="47">
        <v>28.9</v>
      </c>
      <c r="Q15" s="47">
        <v>23.1</v>
      </c>
      <c r="R15" s="47">
        <v>28.9</v>
      </c>
      <c r="S15" s="47">
        <v>23.1</v>
      </c>
      <c r="T15" s="41">
        <v>28.9</v>
      </c>
      <c r="U15" s="41">
        <v>28.9</v>
      </c>
      <c r="V15" s="41">
        <v>28.9</v>
      </c>
      <c r="W15" s="41">
        <v>28.9</v>
      </c>
      <c r="X15" s="41">
        <v>28.9</v>
      </c>
      <c r="Y15" s="41">
        <v>28.9</v>
      </c>
    </row>
    <row r="16" spans="1:25" x14ac:dyDescent="0.15">
      <c r="A16" s="51" t="s">
        <v>103</v>
      </c>
      <c r="B16" s="40">
        <v>25</v>
      </c>
      <c r="C16" s="40">
        <v>20</v>
      </c>
      <c r="D16" s="40">
        <v>25</v>
      </c>
      <c r="E16" s="40">
        <v>20</v>
      </c>
      <c r="F16" s="40">
        <v>25</v>
      </c>
      <c r="G16" s="40">
        <v>20</v>
      </c>
      <c r="H16" s="41">
        <v>25</v>
      </c>
      <c r="I16" s="41">
        <v>25</v>
      </c>
      <c r="J16" s="41">
        <v>25</v>
      </c>
      <c r="K16" s="41">
        <v>25</v>
      </c>
      <c r="L16" s="41">
        <v>25</v>
      </c>
      <c r="M16" s="41">
        <v>25</v>
      </c>
      <c r="N16" s="47">
        <v>31</v>
      </c>
      <c r="O16" s="47">
        <v>24.8</v>
      </c>
      <c r="P16" s="47">
        <v>31</v>
      </c>
      <c r="Q16" s="47">
        <v>24.8</v>
      </c>
      <c r="R16" s="47">
        <v>31</v>
      </c>
      <c r="S16" s="47">
        <v>24.8</v>
      </c>
      <c r="T16" s="41">
        <v>31</v>
      </c>
      <c r="U16" s="41">
        <v>31</v>
      </c>
      <c r="V16" s="41">
        <v>31</v>
      </c>
      <c r="W16" s="41">
        <v>31</v>
      </c>
      <c r="X16" s="41">
        <v>31</v>
      </c>
      <c r="Y16" s="41">
        <v>31</v>
      </c>
    </row>
    <row r="18" spans="1:1" x14ac:dyDescent="0.15">
      <c r="A18" s="16" t="s">
        <v>56</v>
      </c>
    </row>
    <row r="19" spans="1:1" x14ac:dyDescent="0.15">
      <c r="A19" s="57" t="s">
        <v>113</v>
      </c>
    </row>
  </sheetData>
  <mergeCells count="54">
    <mergeCell ref="L3:M3"/>
    <mergeCell ref="N3:O3"/>
    <mergeCell ref="T3:U3"/>
    <mergeCell ref="V3:W3"/>
    <mergeCell ref="A1:U1"/>
    <mergeCell ref="B2:M2"/>
    <mergeCell ref="N2:Y2"/>
    <mergeCell ref="B3:C3"/>
    <mergeCell ref="D3:E3"/>
    <mergeCell ref="F3:G3"/>
    <mergeCell ref="H3:I3"/>
    <mergeCell ref="J3:K3"/>
    <mergeCell ref="B5:C5"/>
    <mergeCell ref="D5:E5"/>
    <mergeCell ref="F5:G5"/>
    <mergeCell ref="H5:I5"/>
    <mergeCell ref="X3:Y3"/>
    <mergeCell ref="T4:U4"/>
    <mergeCell ref="V4:W4"/>
    <mergeCell ref="X4:Y4"/>
    <mergeCell ref="P3:Q3"/>
    <mergeCell ref="R3:S3"/>
    <mergeCell ref="R5:S5"/>
    <mergeCell ref="T5:U5"/>
    <mergeCell ref="V5:W5"/>
    <mergeCell ref="X5:Y5"/>
    <mergeCell ref="J5:K5"/>
    <mergeCell ref="L5:M5"/>
    <mergeCell ref="N5:O5"/>
    <mergeCell ref="P5:Q5"/>
    <mergeCell ref="V6:W6"/>
    <mergeCell ref="X6:Y6"/>
    <mergeCell ref="J6:K6"/>
    <mergeCell ref="L6:M6"/>
    <mergeCell ref="N6:O6"/>
    <mergeCell ref="P6:Q6"/>
    <mergeCell ref="B7:C7"/>
    <mergeCell ref="D7:E7"/>
    <mergeCell ref="F7:G7"/>
    <mergeCell ref="H7:I7"/>
    <mergeCell ref="R6:S6"/>
    <mergeCell ref="T6:U6"/>
    <mergeCell ref="B6:C6"/>
    <mergeCell ref="D6:E6"/>
    <mergeCell ref="F6:G6"/>
    <mergeCell ref="H6:I6"/>
    <mergeCell ref="R7:S7"/>
    <mergeCell ref="T7:U7"/>
    <mergeCell ref="V7:W7"/>
    <mergeCell ref="X7:Y7"/>
    <mergeCell ref="J7:K7"/>
    <mergeCell ref="L7:M7"/>
    <mergeCell ref="N7:O7"/>
    <mergeCell ref="P7:Q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4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workbookViewId="0">
      <selection activeCell="H79" sqref="H79"/>
    </sheetView>
  </sheetViews>
  <sheetFormatPr defaultColWidth="9" defaultRowHeight="14.25" x14ac:dyDescent="0.15"/>
  <cols>
    <col min="1" max="1" width="22.875" customWidth="1"/>
    <col min="2" max="7" width="5.75" customWidth="1"/>
    <col min="8" max="8" width="7" customWidth="1"/>
    <col min="9" max="9" width="6.625" customWidth="1"/>
    <col min="10" max="10" width="6.375" customWidth="1"/>
    <col min="11" max="11" width="7.875" customWidth="1"/>
    <col min="12" max="13" width="8.375" customWidth="1"/>
    <col min="14" max="14" width="6.625" customWidth="1"/>
    <col min="15" max="15" width="7.125" customWidth="1"/>
    <col min="16" max="16" width="7.375" customWidth="1"/>
    <col min="17" max="17" width="6.375" customWidth="1"/>
    <col min="18" max="18" width="7.5" customWidth="1"/>
    <col min="19" max="19" width="6.25" customWidth="1"/>
    <col min="20" max="20" width="8" customWidth="1"/>
    <col min="21" max="21" width="7.375" customWidth="1"/>
  </cols>
  <sheetData>
    <row r="1" spans="1:21" ht="24.75" customHeight="1" x14ac:dyDescent="0.15">
      <c r="A1" s="132" t="s">
        <v>86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1" ht="14.1" customHeight="1" x14ac:dyDescent="0.15">
      <c r="A2" s="24" t="s">
        <v>68</v>
      </c>
      <c r="B2" s="139" t="s">
        <v>66</v>
      </c>
      <c r="C2" s="140"/>
      <c r="D2" s="140"/>
      <c r="E2" s="140"/>
      <c r="F2" s="140"/>
      <c r="G2" s="140"/>
      <c r="H2" s="140"/>
      <c r="I2" s="141"/>
      <c r="J2" s="135" t="s">
        <v>67</v>
      </c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6"/>
    </row>
    <row r="3" spans="1:21" ht="14.1" customHeight="1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28">
        <v>0.8</v>
      </c>
      <c r="I3" s="129"/>
      <c r="J3" s="130">
        <v>0.8</v>
      </c>
      <c r="K3" s="131"/>
      <c r="L3" s="130">
        <v>0.8</v>
      </c>
      <c r="M3" s="131"/>
      <c r="N3" s="130">
        <v>0.8</v>
      </c>
      <c r="O3" s="131"/>
      <c r="P3" s="130">
        <v>0.8</v>
      </c>
      <c r="Q3" s="131"/>
      <c r="R3" s="130">
        <v>0.8</v>
      </c>
      <c r="S3" s="131"/>
      <c r="T3" s="130">
        <v>0.8</v>
      </c>
      <c r="U3" s="131"/>
    </row>
    <row r="4" spans="1:21" ht="14.1" customHeight="1" x14ac:dyDescent="0.15">
      <c r="A4" s="24" t="s">
        <v>59</v>
      </c>
      <c r="B4" s="17"/>
      <c r="C4" s="18"/>
      <c r="D4" s="17"/>
      <c r="E4" s="18"/>
      <c r="F4" s="17"/>
      <c r="G4" s="18"/>
      <c r="H4" s="53"/>
      <c r="I4" s="53"/>
      <c r="J4" s="20"/>
      <c r="K4" s="21"/>
      <c r="L4" s="20"/>
      <c r="M4" s="21"/>
      <c r="N4" s="20"/>
      <c r="O4" s="21"/>
      <c r="P4" s="20"/>
      <c r="Q4" s="21"/>
      <c r="R4" s="20"/>
      <c r="S4" s="21"/>
      <c r="T4" s="20"/>
      <c r="U4" s="21"/>
    </row>
    <row r="5" spans="1:21" ht="14.1" customHeight="1" x14ac:dyDescent="0.15">
      <c r="A5" s="24" t="s">
        <v>104</v>
      </c>
      <c r="B5" s="128">
        <v>380</v>
      </c>
      <c r="C5" s="129"/>
      <c r="D5" s="137">
        <v>400</v>
      </c>
      <c r="E5" s="137"/>
      <c r="F5" s="128">
        <v>415</v>
      </c>
      <c r="G5" s="129"/>
      <c r="H5" s="128">
        <v>440</v>
      </c>
      <c r="I5" s="129"/>
      <c r="J5" s="130" t="s">
        <v>48</v>
      </c>
      <c r="K5" s="131"/>
      <c r="L5" s="20"/>
      <c r="M5" s="21"/>
      <c r="N5" s="126">
        <v>416</v>
      </c>
      <c r="O5" s="127"/>
      <c r="P5" s="130">
        <v>440</v>
      </c>
      <c r="Q5" s="131"/>
      <c r="R5" s="130">
        <v>460</v>
      </c>
      <c r="S5" s="131"/>
      <c r="T5" s="130">
        <v>480</v>
      </c>
      <c r="U5" s="131"/>
    </row>
    <row r="6" spans="1:21" ht="14.1" customHeight="1" x14ac:dyDescent="0.15">
      <c r="A6" s="24" t="s">
        <v>105</v>
      </c>
      <c r="B6" s="128">
        <v>220</v>
      </c>
      <c r="C6" s="129"/>
      <c r="D6" s="128">
        <v>230</v>
      </c>
      <c r="E6" s="129"/>
      <c r="F6" s="128">
        <v>240</v>
      </c>
      <c r="G6" s="129"/>
      <c r="H6" s="128">
        <v>254</v>
      </c>
      <c r="I6" s="129"/>
      <c r="J6" s="130" t="s">
        <v>50</v>
      </c>
      <c r="K6" s="131"/>
      <c r="L6" s="20"/>
      <c r="M6" s="21"/>
      <c r="N6" s="126">
        <v>240</v>
      </c>
      <c r="O6" s="127"/>
      <c r="P6" s="126">
        <v>254</v>
      </c>
      <c r="Q6" s="127"/>
      <c r="R6" s="126">
        <v>266</v>
      </c>
      <c r="S6" s="127"/>
      <c r="T6" s="126">
        <v>277</v>
      </c>
      <c r="U6" s="127"/>
    </row>
    <row r="7" spans="1:21" ht="14.1" customHeight="1" x14ac:dyDescent="0.15">
      <c r="A7" s="24" t="s">
        <v>106</v>
      </c>
      <c r="B7" s="128">
        <v>380</v>
      </c>
      <c r="C7" s="129"/>
      <c r="D7" s="137">
        <v>400</v>
      </c>
      <c r="E7" s="137"/>
      <c r="F7" s="128">
        <v>415</v>
      </c>
      <c r="G7" s="129"/>
      <c r="H7" s="128">
        <v>440</v>
      </c>
      <c r="I7" s="129"/>
      <c r="J7" s="135" t="s">
        <v>53</v>
      </c>
      <c r="K7" s="136"/>
      <c r="L7" s="130" t="s">
        <v>48</v>
      </c>
      <c r="M7" s="131"/>
      <c r="N7" s="126">
        <v>416</v>
      </c>
      <c r="O7" s="127"/>
      <c r="P7" s="130">
        <v>440</v>
      </c>
      <c r="Q7" s="131"/>
      <c r="R7" s="130">
        <v>460</v>
      </c>
      <c r="S7" s="131"/>
      <c r="T7" s="130">
        <v>480</v>
      </c>
      <c r="U7" s="131"/>
    </row>
    <row r="8" spans="1:21" ht="14.1" customHeight="1" x14ac:dyDescent="0.15">
      <c r="A8" s="24" t="s">
        <v>107</v>
      </c>
      <c r="B8" s="128">
        <v>190</v>
      </c>
      <c r="C8" s="129"/>
      <c r="D8" s="128">
        <v>200</v>
      </c>
      <c r="E8" s="129"/>
      <c r="F8" s="128">
        <v>208</v>
      </c>
      <c r="G8" s="129"/>
      <c r="H8" s="128">
        <v>220</v>
      </c>
      <c r="I8" s="129"/>
      <c r="J8" s="130" t="s">
        <v>53</v>
      </c>
      <c r="K8" s="131"/>
      <c r="L8" s="130" t="s">
        <v>49</v>
      </c>
      <c r="M8" s="131"/>
      <c r="N8" s="126">
        <v>208</v>
      </c>
      <c r="O8" s="127"/>
      <c r="P8" s="126">
        <v>220</v>
      </c>
      <c r="Q8" s="127"/>
      <c r="R8" s="126">
        <v>230</v>
      </c>
      <c r="S8" s="127"/>
      <c r="T8" s="126">
        <v>240</v>
      </c>
      <c r="U8" s="127"/>
    </row>
    <row r="9" spans="1:21" ht="14.1" customHeight="1" x14ac:dyDescent="0.15">
      <c r="A9" s="25" t="s">
        <v>62</v>
      </c>
      <c r="B9" s="128">
        <v>220</v>
      </c>
      <c r="C9" s="129"/>
      <c r="D9" s="128">
        <v>230</v>
      </c>
      <c r="E9" s="129"/>
      <c r="F9" s="128">
        <v>240</v>
      </c>
      <c r="G9" s="129"/>
      <c r="H9" s="128">
        <v>254</v>
      </c>
      <c r="I9" s="129"/>
      <c r="J9" s="135" t="s">
        <v>53</v>
      </c>
      <c r="K9" s="136"/>
      <c r="L9" s="130" t="s">
        <v>50</v>
      </c>
      <c r="M9" s="131"/>
      <c r="N9" s="126">
        <v>240</v>
      </c>
      <c r="O9" s="127"/>
      <c r="P9" s="126">
        <v>254</v>
      </c>
      <c r="Q9" s="127"/>
      <c r="R9" s="126">
        <v>266</v>
      </c>
      <c r="S9" s="127"/>
      <c r="T9" s="126">
        <v>277</v>
      </c>
      <c r="U9" s="127"/>
    </row>
    <row r="10" spans="1:21" ht="14.1" customHeight="1" x14ac:dyDescent="0.15">
      <c r="A10" s="25" t="s">
        <v>63</v>
      </c>
      <c r="B10" s="128">
        <v>11</v>
      </c>
      <c r="C10" s="129"/>
      <c r="D10" s="128">
        <v>11</v>
      </c>
      <c r="E10" s="129"/>
      <c r="F10" s="128">
        <v>11</v>
      </c>
      <c r="G10" s="129"/>
      <c r="H10" s="128">
        <v>11</v>
      </c>
      <c r="I10" s="129"/>
      <c r="J10" s="130">
        <v>13</v>
      </c>
      <c r="K10" s="131"/>
      <c r="L10" s="130">
        <v>14</v>
      </c>
      <c r="M10" s="131"/>
      <c r="N10" s="126">
        <v>11</v>
      </c>
      <c r="O10" s="127"/>
      <c r="P10" s="126">
        <v>11</v>
      </c>
      <c r="Q10" s="127"/>
      <c r="R10" s="126">
        <v>11</v>
      </c>
      <c r="S10" s="127"/>
      <c r="T10" s="126">
        <v>11</v>
      </c>
      <c r="U10" s="127"/>
    </row>
    <row r="11" spans="1:21" ht="14.1" customHeight="1" x14ac:dyDescent="0.15">
      <c r="A11" s="36" t="s">
        <v>64</v>
      </c>
      <c r="B11" s="19" t="s">
        <v>0</v>
      </c>
      <c r="C11" s="19" t="s">
        <v>1</v>
      </c>
      <c r="D11" s="19" t="s">
        <v>0</v>
      </c>
      <c r="E11" s="19" t="s">
        <v>1</v>
      </c>
      <c r="F11" s="19" t="s">
        <v>0</v>
      </c>
      <c r="G11" s="19" t="s">
        <v>1</v>
      </c>
      <c r="H11" s="19" t="s">
        <v>0</v>
      </c>
      <c r="I11" s="19" t="s">
        <v>1</v>
      </c>
      <c r="J11" s="22" t="s">
        <v>51</v>
      </c>
      <c r="K11" s="23" t="s">
        <v>52</v>
      </c>
      <c r="L11" s="22" t="s">
        <v>51</v>
      </c>
      <c r="M11" s="23" t="s">
        <v>52</v>
      </c>
      <c r="N11" s="23" t="s">
        <v>0</v>
      </c>
      <c r="O11" s="23" t="s">
        <v>1</v>
      </c>
      <c r="P11" s="23" t="s">
        <v>0</v>
      </c>
      <c r="Q11" s="23" t="s">
        <v>1</v>
      </c>
      <c r="R11" s="23" t="s">
        <v>0</v>
      </c>
      <c r="S11" s="23" t="s">
        <v>1</v>
      </c>
      <c r="T11" s="23" t="s">
        <v>0</v>
      </c>
      <c r="U11" s="23" t="s">
        <v>1</v>
      </c>
    </row>
    <row r="12" spans="1:21" ht="13.5" customHeight="1" x14ac:dyDescent="0.15">
      <c r="A12" s="31" t="s">
        <v>2</v>
      </c>
      <c r="B12" s="55" t="s">
        <v>53</v>
      </c>
      <c r="C12" s="55" t="s">
        <v>53</v>
      </c>
      <c r="D12" s="55" t="s">
        <v>53</v>
      </c>
      <c r="E12" s="55" t="s">
        <v>53</v>
      </c>
      <c r="F12" s="55" t="s">
        <v>53</v>
      </c>
      <c r="G12" s="55" t="s">
        <v>53</v>
      </c>
      <c r="H12" s="55" t="s">
        <v>53</v>
      </c>
      <c r="I12" s="55" t="s">
        <v>53</v>
      </c>
      <c r="J12" s="34" t="s">
        <v>53</v>
      </c>
      <c r="K12" s="34" t="s">
        <v>53</v>
      </c>
      <c r="L12" s="34" t="s">
        <v>53</v>
      </c>
      <c r="M12" s="34" t="s">
        <v>53</v>
      </c>
      <c r="N12" s="58" t="s">
        <v>53</v>
      </c>
      <c r="O12" s="58" t="s">
        <v>53</v>
      </c>
      <c r="P12" s="58" t="s">
        <v>53</v>
      </c>
      <c r="Q12" s="58" t="s">
        <v>53</v>
      </c>
      <c r="R12" s="58" t="s">
        <v>53</v>
      </c>
      <c r="S12" s="58" t="s">
        <v>53</v>
      </c>
      <c r="T12" s="58" t="s">
        <v>53</v>
      </c>
      <c r="U12" s="58" t="s">
        <v>53</v>
      </c>
    </row>
    <row r="13" spans="1:21" ht="13.5" customHeight="1" x14ac:dyDescent="0.15">
      <c r="A13" s="31" t="s">
        <v>3</v>
      </c>
      <c r="B13" s="55" t="s">
        <v>53</v>
      </c>
      <c r="C13" s="55" t="s">
        <v>53</v>
      </c>
      <c r="D13" s="55" t="s">
        <v>53</v>
      </c>
      <c r="E13" s="55" t="s">
        <v>53</v>
      </c>
      <c r="F13" s="55" t="s">
        <v>53</v>
      </c>
      <c r="G13" s="55" t="s">
        <v>53</v>
      </c>
      <c r="H13" s="55" t="s">
        <v>53</v>
      </c>
      <c r="I13" s="55" t="s">
        <v>53</v>
      </c>
      <c r="J13" s="34" t="s">
        <v>53</v>
      </c>
      <c r="K13" s="34" t="s">
        <v>53</v>
      </c>
      <c r="L13" s="34" t="s">
        <v>53</v>
      </c>
      <c r="M13" s="34" t="s">
        <v>53</v>
      </c>
      <c r="N13" s="58" t="s">
        <v>53</v>
      </c>
      <c r="O13" s="58" t="s">
        <v>53</v>
      </c>
      <c r="P13" s="58" t="s">
        <v>53</v>
      </c>
      <c r="Q13" s="58" t="s">
        <v>53</v>
      </c>
      <c r="R13" s="58" t="s">
        <v>53</v>
      </c>
      <c r="S13" s="58" t="s">
        <v>53</v>
      </c>
      <c r="T13" s="58" t="s">
        <v>53</v>
      </c>
      <c r="U13" s="58" t="s">
        <v>53</v>
      </c>
    </row>
    <row r="14" spans="1:21" ht="13.5" customHeight="1" x14ac:dyDescent="0.15">
      <c r="A14" s="31" t="s">
        <v>4</v>
      </c>
      <c r="B14" s="55" t="s">
        <v>53</v>
      </c>
      <c r="C14" s="55" t="s">
        <v>53</v>
      </c>
      <c r="D14" s="55" t="s">
        <v>53</v>
      </c>
      <c r="E14" s="55" t="s">
        <v>53</v>
      </c>
      <c r="F14" s="55" t="s">
        <v>53</v>
      </c>
      <c r="G14" s="55" t="s">
        <v>53</v>
      </c>
      <c r="H14" s="55" t="s">
        <v>53</v>
      </c>
      <c r="I14" s="55" t="s">
        <v>53</v>
      </c>
      <c r="J14" s="34" t="s">
        <v>53</v>
      </c>
      <c r="K14" s="34" t="s">
        <v>53</v>
      </c>
      <c r="L14" s="34" t="s">
        <v>53</v>
      </c>
      <c r="M14" s="34" t="s">
        <v>53</v>
      </c>
      <c r="N14" s="58" t="s">
        <v>53</v>
      </c>
      <c r="O14" s="58" t="s">
        <v>53</v>
      </c>
      <c r="P14" s="58" t="s">
        <v>53</v>
      </c>
      <c r="Q14" s="58" t="s">
        <v>53</v>
      </c>
      <c r="R14" s="58" t="s">
        <v>53</v>
      </c>
      <c r="S14" s="58" t="s">
        <v>53</v>
      </c>
      <c r="T14" s="58" t="s">
        <v>53</v>
      </c>
      <c r="U14" s="58" t="s">
        <v>53</v>
      </c>
    </row>
    <row r="15" spans="1:21" ht="13.5" customHeight="1" x14ac:dyDescent="0.15">
      <c r="A15" s="31" t="s">
        <v>5</v>
      </c>
      <c r="B15" s="55" t="s">
        <v>53</v>
      </c>
      <c r="C15" s="55" t="s">
        <v>53</v>
      </c>
      <c r="D15" s="55" t="s">
        <v>53</v>
      </c>
      <c r="E15" s="55" t="s">
        <v>53</v>
      </c>
      <c r="F15" s="55" t="s">
        <v>53</v>
      </c>
      <c r="G15" s="55" t="s">
        <v>53</v>
      </c>
      <c r="H15" s="55" t="s">
        <v>53</v>
      </c>
      <c r="I15" s="55" t="s">
        <v>53</v>
      </c>
      <c r="J15" s="34" t="s">
        <v>53</v>
      </c>
      <c r="K15" s="34" t="s">
        <v>53</v>
      </c>
      <c r="L15" s="34" t="s">
        <v>53</v>
      </c>
      <c r="M15" s="34" t="s">
        <v>53</v>
      </c>
      <c r="N15" s="58" t="s">
        <v>53</v>
      </c>
      <c r="O15" s="58" t="s">
        <v>53</v>
      </c>
      <c r="P15" s="58" t="s">
        <v>53</v>
      </c>
      <c r="Q15" s="58" t="s">
        <v>53</v>
      </c>
      <c r="R15" s="58" t="s">
        <v>53</v>
      </c>
      <c r="S15" s="58" t="s">
        <v>53</v>
      </c>
      <c r="T15" s="58" t="s">
        <v>53</v>
      </c>
      <c r="U15" s="58" t="s">
        <v>53</v>
      </c>
    </row>
    <row r="16" spans="1:21" ht="13.5" customHeight="1" x14ac:dyDescent="0.15">
      <c r="A16" s="31"/>
      <c r="B16" s="29"/>
      <c r="C16" s="29"/>
      <c r="D16" s="29"/>
      <c r="E16" s="29"/>
      <c r="F16" s="29"/>
      <c r="G16" s="29"/>
      <c r="H16" s="29"/>
      <c r="I16" s="29"/>
      <c r="J16" s="34"/>
      <c r="K16" s="34"/>
      <c r="L16" s="34"/>
      <c r="M16" s="34"/>
      <c r="N16" s="58"/>
      <c r="O16" s="58"/>
      <c r="P16" s="58"/>
      <c r="Q16" s="58"/>
      <c r="R16" s="58"/>
      <c r="S16" s="58"/>
      <c r="T16" s="58"/>
      <c r="U16" s="58"/>
    </row>
    <row r="17" spans="1:21" ht="13.5" customHeight="1" x14ac:dyDescent="0.15">
      <c r="A17" s="31" t="s">
        <v>6</v>
      </c>
      <c r="B17" s="55" t="s">
        <v>53</v>
      </c>
      <c r="C17" s="55" t="s">
        <v>53</v>
      </c>
      <c r="D17" s="55" t="s">
        <v>53</v>
      </c>
      <c r="E17" s="55" t="s">
        <v>53</v>
      </c>
      <c r="F17" s="55" t="s">
        <v>53</v>
      </c>
      <c r="G17" s="55" t="s">
        <v>53</v>
      </c>
      <c r="H17" s="55" t="s">
        <v>53</v>
      </c>
      <c r="I17" s="55" t="s">
        <v>53</v>
      </c>
      <c r="J17" s="34" t="s">
        <v>53</v>
      </c>
      <c r="K17" s="34" t="s">
        <v>53</v>
      </c>
      <c r="L17" s="34" t="s">
        <v>53</v>
      </c>
      <c r="M17" s="34" t="s">
        <v>53</v>
      </c>
      <c r="N17" s="58" t="s">
        <v>53</v>
      </c>
      <c r="O17" s="58" t="s">
        <v>53</v>
      </c>
      <c r="P17" s="58" t="s">
        <v>53</v>
      </c>
      <c r="Q17" s="58" t="s">
        <v>53</v>
      </c>
      <c r="R17" s="58" t="s">
        <v>53</v>
      </c>
      <c r="S17" s="58" t="s">
        <v>53</v>
      </c>
      <c r="T17" s="58" t="s">
        <v>53</v>
      </c>
      <c r="U17" s="58" t="s">
        <v>53</v>
      </c>
    </row>
    <row r="18" spans="1:21" ht="13.5" customHeight="1" x14ac:dyDescent="0.15">
      <c r="A18" s="31" t="s">
        <v>7</v>
      </c>
      <c r="B18" s="55" t="s">
        <v>53</v>
      </c>
      <c r="C18" s="55" t="s">
        <v>53</v>
      </c>
      <c r="D18" s="55" t="s">
        <v>53</v>
      </c>
      <c r="E18" s="55" t="s">
        <v>53</v>
      </c>
      <c r="F18" s="55" t="s">
        <v>53</v>
      </c>
      <c r="G18" s="55" t="s">
        <v>53</v>
      </c>
      <c r="H18" s="55" t="s">
        <v>53</v>
      </c>
      <c r="I18" s="55" t="s">
        <v>53</v>
      </c>
      <c r="J18" s="34" t="s">
        <v>53</v>
      </c>
      <c r="K18" s="34" t="s">
        <v>53</v>
      </c>
      <c r="L18" s="34" t="s">
        <v>53</v>
      </c>
      <c r="M18" s="34" t="s">
        <v>53</v>
      </c>
      <c r="N18" s="58" t="s">
        <v>53</v>
      </c>
      <c r="O18" s="58" t="s">
        <v>53</v>
      </c>
      <c r="P18" s="58" t="s">
        <v>53</v>
      </c>
      <c r="Q18" s="58" t="s">
        <v>53</v>
      </c>
      <c r="R18" s="58" t="s">
        <v>53</v>
      </c>
      <c r="S18" s="58" t="s">
        <v>53</v>
      </c>
      <c r="T18" s="58" t="s">
        <v>53</v>
      </c>
      <c r="U18" s="58" t="s">
        <v>53</v>
      </c>
    </row>
    <row r="19" spans="1:21" ht="13.5" customHeight="1" x14ac:dyDescent="0.15">
      <c r="A19" s="31" t="s">
        <v>8</v>
      </c>
      <c r="B19" s="29">
        <v>29</v>
      </c>
      <c r="C19" s="29">
        <f>B19*0.8</f>
        <v>23.200000000000003</v>
      </c>
      <c r="D19" s="29">
        <v>29</v>
      </c>
      <c r="E19" s="29">
        <f>D19*0.8</f>
        <v>23.200000000000003</v>
      </c>
      <c r="F19" s="29">
        <v>29</v>
      </c>
      <c r="G19" s="29">
        <f>F19*0.8</f>
        <v>23.200000000000003</v>
      </c>
      <c r="H19" s="29">
        <v>23.7</v>
      </c>
      <c r="I19" s="29">
        <f t="shared" ref="I19:I53" si="0">H19*0.8</f>
        <v>18.96</v>
      </c>
      <c r="J19" s="34" t="s">
        <v>53</v>
      </c>
      <c r="K19" s="34" t="s">
        <v>53</v>
      </c>
      <c r="L19" s="34" t="s">
        <v>53</v>
      </c>
      <c r="M19" s="34" t="s">
        <v>53</v>
      </c>
      <c r="N19" s="27">
        <v>33.799999999999997</v>
      </c>
      <c r="O19" s="27">
        <f>N19*0.8</f>
        <v>27.04</v>
      </c>
      <c r="P19" s="27">
        <v>35</v>
      </c>
      <c r="Q19" s="27">
        <f>P19*0.8</f>
        <v>28</v>
      </c>
      <c r="R19" s="27">
        <v>35</v>
      </c>
      <c r="S19" s="27">
        <f>R19*0.8</f>
        <v>28</v>
      </c>
      <c r="T19" s="27">
        <v>37.5</v>
      </c>
      <c r="U19" s="27">
        <f>T19*0.8</f>
        <v>30</v>
      </c>
    </row>
    <row r="20" spans="1:21" ht="13.5" customHeight="1" x14ac:dyDescent="0.15">
      <c r="A20" s="31" t="s">
        <v>9</v>
      </c>
      <c r="B20" s="29">
        <v>32.5</v>
      </c>
      <c r="C20" s="29">
        <f>B20*0.8</f>
        <v>26</v>
      </c>
      <c r="D20" s="29">
        <v>32.5</v>
      </c>
      <c r="E20" s="29">
        <f>D20*0.8</f>
        <v>26</v>
      </c>
      <c r="F20" s="29">
        <v>32.5</v>
      </c>
      <c r="G20" s="29">
        <v>25</v>
      </c>
      <c r="H20" s="29">
        <v>28.6</v>
      </c>
      <c r="I20" s="29">
        <f t="shared" si="0"/>
        <v>22.880000000000003</v>
      </c>
      <c r="J20" s="34" t="s">
        <v>53</v>
      </c>
      <c r="K20" s="34" t="s">
        <v>53</v>
      </c>
      <c r="L20" s="34" t="s">
        <v>53</v>
      </c>
      <c r="M20" s="34" t="s">
        <v>53</v>
      </c>
      <c r="N20" s="27">
        <v>36.299999999999997</v>
      </c>
      <c r="O20" s="27">
        <f>N20*0.8</f>
        <v>29.04</v>
      </c>
      <c r="P20" s="27">
        <v>38.799999999999997</v>
      </c>
      <c r="Q20" s="27">
        <f>P20*0.8</f>
        <v>31.04</v>
      </c>
      <c r="R20" s="27">
        <v>38.799999999999997</v>
      </c>
      <c r="S20" s="27">
        <f>R20*0.8</f>
        <v>31.04</v>
      </c>
      <c r="T20" s="27">
        <v>38.799999999999997</v>
      </c>
      <c r="U20" s="27">
        <f>T20*0.8</f>
        <v>31.04</v>
      </c>
    </row>
    <row r="21" spans="1:21" ht="13.5" customHeight="1" x14ac:dyDescent="0.15">
      <c r="A21" s="31" t="s">
        <v>10</v>
      </c>
      <c r="B21" s="29">
        <v>39</v>
      </c>
      <c r="C21" s="29">
        <f>B21*0.8</f>
        <v>31.200000000000003</v>
      </c>
      <c r="D21" s="29">
        <v>39</v>
      </c>
      <c r="E21" s="29">
        <f>D21*0.8</f>
        <v>31.200000000000003</v>
      </c>
      <c r="F21" s="29">
        <v>39</v>
      </c>
      <c r="G21" s="29">
        <f>F21*0.8</f>
        <v>31.200000000000003</v>
      </c>
      <c r="H21" s="29">
        <v>33.799999999999997</v>
      </c>
      <c r="I21" s="29">
        <f t="shared" si="0"/>
        <v>27.04</v>
      </c>
      <c r="J21" s="34" t="s">
        <v>53</v>
      </c>
      <c r="K21" s="34" t="s">
        <v>53</v>
      </c>
      <c r="L21" s="34" t="s">
        <v>53</v>
      </c>
      <c r="M21" s="34" t="s">
        <v>53</v>
      </c>
      <c r="N21" s="27">
        <v>45.9</v>
      </c>
      <c r="O21" s="27">
        <f>N21*0.8</f>
        <v>36.72</v>
      </c>
      <c r="P21" s="27">
        <v>48.5</v>
      </c>
      <c r="Q21" s="27">
        <f>P21*0.8</f>
        <v>38.800000000000004</v>
      </c>
      <c r="R21" s="27">
        <v>48.5</v>
      </c>
      <c r="S21" s="27">
        <f>R21*0.8</f>
        <v>38.800000000000004</v>
      </c>
      <c r="T21" s="27">
        <v>48.5</v>
      </c>
      <c r="U21" s="27">
        <f>T21*0.8</f>
        <v>38.800000000000004</v>
      </c>
    </row>
    <row r="22" spans="1:21" ht="13.5" customHeight="1" x14ac:dyDescent="0.15">
      <c r="A22" s="31" t="s">
        <v>11</v>
      </c>
      <c r="B22" s="29">
        <v>41.5</v>
      </c>
      <c r="C22" s="29">
        <f>B22*0.8</f>
        <v>33.200000000000003</v>
      </c>
      <c r="D22" s="29">
        <v>44</v>
      </c>
      <c r="E22" s="29">
        <f>D22*0.8</f>
        <v>35.200000000000003</v>
      </c>
      <c r="F22" s="29">
        <v>41.5</v>
      </c>
      <c r="G22" s="29">
        <f>F22*0.8</f>
        <v>33.200000000000003</v>
      </c>
      <c r="H22" s="29">
        <v>36.299999999999997</v>
      </c>
      <c r="I22" s="29">
        <f t="shared" si="0"/>
        <v>29.04</v>
      </c>
      <c r="J22" s="34" t="s">
        <v>53</v>
      </c>
      <c r="K22" s="34" t="s">
        <v>53</v>
      </c>
      <c r="L22" s="34" t="s">
        <v>53</v>
      </c>
      <c r="M22" s="34" t="s">
        <v>53</v>
      </c>
      <c r="N22" s="27">
        <v>49.2</v>
      </c>
      <c r="O22" s="27">
        <f>N22*0.8</f>
        <v>39.360000000000007</v>
      </c>
      <c r="P22" s="27">
        <v>52</v>
      </c>
      <c r="Q22" s="27">
        <f>P22*0.8</f>
        <v>41.6</v>
      </c>
      <c r="R22" s="27">
        <v>52</v>
      </c>
      <c r="S22" s="27">
        <f>R22*0.8</f>
        <v>41.6</v>
      </c>
      <c r="T22" s="27">
        <v>52</v>
      </c>
      <c r="U22" s="27">
        <f>T22*0.8</f>
        <v>41.6</v>
      </c>
    </row>
    <row r="23" spans="1:21" ht="13.5" customHeight="1" x14ac:dyDescent="0.15">
      <c r="A23" s="31"/>
      <c r="B23" s="29"/>
      <c r="C23" s="29"/>
      <c r="D23" s="29"/>
      <c r="E23" s="29"/>
      <c r="F23" s="29"/>
      <c r="G23" s="29"/>
      <c r="H23" s="29"/>
      <c r="I23" s="29"/>
      <c r="J23" s="34"/>
      <c r="K23" s="34"/>
      <c r="L23" s="34"/>
      <c r="M23" s="34"/>
      <c r="N23" s="27"/>
      <c r="O23" s="27"/>
      <c r="P23" s="27"/>
      <c r="Q23" s="27"/>
      <c r="R23" s="27"/>
      <c r="S23" s="27"/>
      <c r="T23" s="27"/>
      <c r="U23" s="27"/>
    </row>
    <row r="24" spans="1:21" ht="13.5" customHeight="1" x14ac:dyDescent="0.15">
      <c r="A24" s="31" t="s">
        <v>13</v>
      </c>
      <c r="B24" s="30">
        <v>45</v>
      </c>
      <c r="C24" s="30">
        <f>B24*0.8</f>
        <v>36</v>
      </c>
      <c r="D24" s="30">
        <v>45</v>
      </c>
      <c r="E24" s="30">
        <f>D24*0.8</f>
        <v>36</v>
      </c>
      <c r="F24" s="30">
        <v>45</v>
      </c>
      <c r="G24" s="30">
        <f>F24*0.8</f>
        <v>36</v>
      </c>
      <c r="H24" s="30">
        <v>31.7</v>
      </c>
      <c r="I24" s="29">
        <f t="shared" si="0"/>
        <v>25.36</v>
      </c>
      <c r="J24" s="34" t="s">
        <v>53</v>
      </c>
      <c r="K24" s="34" t="s">
        <v>53</v>
      </c>
      <c r="L24" s="48">
        <v>58.1</v>
      </c>
      <c r="M24" s="35">
        <f>L24*0.8</f>
        <v>46.480000000000004</v>
      </c>
      <c r="N24" s="28">
        <v>53.1</v>
      </c>
      <c r="O24" s="28">
        <f>N24*0.8</f>
        <v>42.480000000000004</v>
      </c>
      <c r="P24" s="28">
        <v>55</v>
      </c>
      <c r="Q24" s="28">
        <f>P24*0.8</f>
        <v>44</v>
      </c>
      <c r="R24" s="28">
        <v>55</v>
      </c>
      <c r="S24" s="28">
        <f>R24*0.8</f>
        <v>44</v>
      </c>
      <c r="T24" s="28">
        <v>58.1</v>
      </c>
      <c r="U24" s="28">
        <f>T24*0.8</f>
        <v>46.480000000000004</v>
      </c>
    </row>
    <row r="25" spans="1:21" ht="13.5" customHeight="1" x14ac:dyDescent="0.15">
      <c r="A25" s="31" t="s">
        <v>14</v>
      </c>
      <c r="B25" s="30">
        <v>53</v>
      </c>
      <c r="C25" s="30">
        <f t="shared" ref="C25:C38" si="1">B25*0.8</f>
        <v>42.400000000000006</v>
      </c>
      <c r="D25" s="30">
        <v>53</v>
      </c>
      <c r="E25" s="30">
        <f>D25*0.8</f>
        <v>42.400000000000006</v>
      </c>
      <c r="F25" s="30">
        <v>53</v>
      </c>
      <c r="G25" s="30">
        <f>F25*0.8</f>
        <v>42.400000000000006</v>
      </c>
      <c r="H25" s="30">
        <v>39.1</v>
      </c>
      <c r="I25" s="29">
        <f t="shared" si="0"/>
        <v>31.28</v>
      </c>
      <c r="J25" s="34" t="s">
        <v>53</v>
      </c>
      <c r="K25" s="34" t="s">
        <v>53</v>
      </c>
      <c r="L25" s="48">
        <v>65</v>
      </c>
      <c r="M25" s="35">
        <f>L25*0.8</f>
        <v>52</v>
      </c>
      <c r="N25" s="28">
        <v>62.5</v>
      </c>
      <c r="O25" s="28">
        <f>N25*0.8</f>
        <v>50</v>
      </c>
      <c r="P25" s="28">
        <v>65</v>
      </c>
      <c r="Q25" s="28">
        <f>P25*0.8</f>
        <v>52</v>
      </c>
      <c r="R25" s="28">
        <v>65</v>
      </c>
      <c r="S25" s="28">
        <f>R25*0.8</f>
        <v>52</v>
      </c>
      <c r="T25" s="28">
        <v>68.8</v>
      </c>
      <c r="U25" s="28">
        <f>T25*0.8</f>
        <v>55.04</v>
      </c>
    </row>
    <row r="26" spans="1:21" ht="13.5" customHeight="1" x14ac:dyDescent="0.15">
      <c r="A26" s="31" t="s">
        <v>15</v>
      </c>
      <c r="B26" s="30">
        <v>61</v>
      </c>
      <c r="C26" s="30">
        <f t="shared" si="1"/>
        <v>48.800000000000004</v>
      </c>
      <c r="D26" s="30">
        <v>61</v>
      </c>
      <c r="E26" s="30">
        <f>D26*0.8</f>
        <v>48.800000000000004</v>
      </c>
      <c r="F26" s="30">
        <v>61</v>
      </c>
      <c r="G26" s="30">
        <f>F26*0.8</f>
        <v>48.800000000000004</v>
      </c>
      <c r="H26" s="30">
        <v>45.8</v>
      </c>
      <c r="I26" s="29">
        <f t="shared" si="0"/>
        <v>36.64</v>
      </c>
      <c r="J26" s="34" t="s">
        <v>53</v>
      </c>
      <c r="K26" s="34" t="s">
        <v>53</v>
      </c>
      <c r="L26" s="48">
        <v>73.8</v>
      </c>
      <c r="M26" s="35">
        <f>L26*0.8</f>
        <v>59.04</v>
      </c>
      <c r="N26" s="28">
        <v>70</v>
      </c>
      <c r="O26" s="28">
        <f>N26*0.8</f>
        <v>56</v>
      </c>
      <c r="P26" s="28">
        <v>73.8</v>
      </c>
      <c r="Q26" s="28">
        <f>P26*0.8</f>
        <v>59.04</v>
      </c>
      <c r="R26" s="28">
        <v>73.8</v>
      </c>
      <c r="S26" s="28">
        <f>R26*0.8</f>
        <v>59.04</v>
      </c>
      <c r="T26" s="28">
        <v>78.8</v>
      </c>
      <c r="U26" s="28">
        <f>T26*0.8</f>
        <v>63.04</v>
      </c>
    </row>
    <row r="27" spans="1:21" ht="13.5" customHeight="1" x14ac:dyDescent="0.15">
      <c r="A27" s="31" t="s">
        <v>16</v>
      </c>
      <c r="B27" s="30">
        <v>77</v>
      </c>
      <c r="C27" s="30">
        <f t="shared" si="1"/>
        <v>61.6</v>
      </c>
      <c r="D27" s="30">
        <v>77</v>
      </c>
      <c r="E27" s="30">
        <f>D27*0.8</f>
        <v>61.6</v>
      </c>
      <c r="F27" s="30">
        <v>77</v>
      </c>
      <c r="G27" s="30">
        <f>F27*0.8</f>
        <v>61.6</v>
      </c>
      <c r="H27" s="30">
        <v>58</v>
      </c>
      <c r="I27" s="29">
        <f t="shared" si="0"/>
        <v>46.400000000000006</v>
      </c>
      <c r="J27" s="34" t="s">
        <v>53</v>
      </c>
      <c r="K27" s="34" t="s">
        <v>53</v>
      </c>
      <c r="L27" s="48">
        <v>89.4</v>
      </c>
      <c r="M27" s="35">
        <f>L27*0.8</f>
        <v>71.52000000000001</v>
      </c>
      <c r="N27" s="28">
        <v>88.8</v>
      </c>
      <c r="O27" s="28">
        <f>N27*0.8</f>
        <v>71.040000000000006</v>
      </c>
      <c r="P27" s="28">
        <v>92.5</v>
      </c>
      <c r="Q27" s="28">
        <f>P27*0.8</f>
        <v>74</v>
      </c>
      <c r="R27" s="28">
        <v>92.5</v>
      </c>
      <c r="S27" s="28">
        <f>R27*0.8</f>
        <v>74</v>
      </c>
      <c r="T27" s="28">
        <v>98.8</v>
      </c>
      <c r="U27" s="28">
        <f>T27*0.8</f>
        <v>79.040000000000006</v>
      </c>
    </row>
    <row r="28" spans="1:21" ht="13.5" customHeight="1" x14ac:dyDescent="0.15">
      <c r="A28" s="31" t="s">
        <v>17</v>
      </c>
      <c r="B28" s="30">
        <v>87.5</v>
      </c>
      <c r="C28" s="30">
        <f t="shared" si="1"/>
        <v>70</v>
      </c>
      <c r="D28" s="30">
        <v>87.5</v>
      </c>
      <c r="E28" s="30">
        <f>D28*0.8</f>
        <v>70</v>
      </c>
      <c r="F28" s="30">
        <v>87.5</v>
      </c>
      <c r="G28" s="30">
        <f>F28*0.8</f>
        <v>70</v>
      </c>
      <c r="H28" s="30">
        <v>76.900000000000006</v>
      </c>
      <c r="I28" s="29">
        <f t="shared" si="0"/>
        <v>61.52000000000001</v>
      </c>
      <c r="J28" s="34" t="s">
        <v>53</v>
      </c>
      <c r="K28" s="34" t="s">
        <v>53</v>
      </c>
      <c r="L28" s="48">
        <v>102.5</v>
      </c>
      <c r="M28" s="35">
        <f>L28*0.8</f>
        <v>82</v>
      </c>
      <c r="N28" s="28">
        <v>98.1</v>
      </c>
      <c r="O28" s="28">
        <f>N28*0.8</f>
        <v>78.48</v>
      </c>
      <c r="P28" s="28">
        <v>102.5</v>
      </c>
      <c r="Q28" s="28">
        <f>P28*0.8</f>
        <v>82</v>
      </c>
      <c r="R28" s="28">
        <v>102.5</v>
      </c>
      <c r="S28" s="28">
        <f>R28*0.8</f>
        <v>82</v>
      </c>
      <c r="T28" s="28">
        <v>110</v>
      </c>
      <c r="U28" s="28">
        <f>T28*0.8</f>
        <v>88</v>
      </c>
    </row>
    <row r="29" spans="1:21" ht="13.5" customHeight="1" x14ac:dyDescent="0.15">
      <c r="A29" s="31"/>
      <c r="B29" s="30"/>
      <c r="C29" s="30"/>
      <c r="D29" s="30"/>
      <c r="E29" s="30"/>
      <c r="F29" s="30"/>
      <c r="G29" s="30"/>
      <c r="H29" s="30"/>
      <c r="I29" s="29"/>
      <c r="J29" s="35"/>
      <c r="K29" s="35"/>
      <c r="L29" s="35"/>
      <c r="M29" s="35"/>
      <c r="N29" s="28"/>
      <c r="O29" s="28"/>
      <c r="P29" s="28"/>
      <c r="Q29" s="28"/>
      <c r="R29" s="28"/>
      <c r="S29" s="28"/>
      <c r="T29" s="28"/>
      <c r="U29" s="28"/>
    </row>
    <row r="30" spans="1:21" ht="13.5" customHeight="1" x14ac:dyDescent="0.15">
      <c r="A30" s="31" t="s">
        <v>18</v>
      </c>
      <c r="B30" s="30">
        <v>106</v>
      </c>
      <c r="C30" s="30">
        <f t="shared" si="1"/>
        <v>84.800000000000011</v>
      </c>
      <c r="D30" s="30">
        <v>106</v>
      </c>
      <c r="E30" s="30">
        <f t="shared" ref="E30:E38" si="2">D30*0.8</f>
        <v>84.800000000000011</v>
      </c>
      <c r="F30" s="30">
        <v>106</v>
      </c>
      <c r="G30" s="30">
        <f t="shared" ref="G30:G38" si="3">F30*0.8</f>
        <v>84.800000000000011</v>
      </c>
      <c r="H30" s="39" t="s">
        <v>53</v>
      </c>
      <c r="I30" s="55" t="s">
        <v>53</v>
      </c>
      <c r="J30" s="34" t="s">
        <v>53</v>
      </c>
      <c r="K30" s="34" t="s">
        <v>53</v>
      </c>
      <c r="L30" s="35">
        <v>127</v>
      </c>
      <c r="M30" s="35">
        <f>L30*0.8</f>
        <v>101.60000000000001</v>
      </c>
      <c r="N30" s="28">
        <v>116.3</v>
      </c>
      <c r="O30" s="28">
        <f t="shared" ref="O30:O38" si="4">N30*0.8</f>
        <v>93.04</v>
      </c>
      <c r="P30" s="28">
        <v>125</v>
      </c>
      <c r="Q30" s="28">
        <f>P30*0.8</f>
        <v>100</v>
      </c>
      <c r="R30" s="28">
        <v>117.5</v>
      </c>
      <c r="S30" s="28">
        <f>R30*0.8</f>
        <v>94</v>
      </c>
      <c r="T30" s="28">
        <v>132.5</v>
      </c>
      <c r="U30" s="28">
        <f t="shared" ref="U30:U38" si="5">T30*0.8</f>
        <v>106</v>
      </c>
    </row>
    <row r="31" spans="1:21" ht="13.5" customHeight="1" x14ac:dyDescent="0.15">
      <c r="A31" s="62" t="s">
        <v>38</v>
      </c>
      <c r="B31" s="63">
        <v>130</v>
      </c>
      <c r="C31" s="63">
        <f>B31*0.8</f>
        <v>104</v>
      </c>
      <c r="D31" s="63">
        <v>130</v>
      </c>
      <c r="E31" s="63">
        <f t="shared" si="2"/>
        <v>104</v>
      </c>
      <c r="F31" s="63">
        <v>130</v>
      </c>
      <c r="G31" s="63">
        <f t="shared" si="3"/>
        <v>104</v>
      </c>
      <c r="H31" s="63" t="s">
        <v>53</v>
      </c>
      <c r="I31" s="63" t="s">
        <v>53</v>
      </c>
      <c r="J31" s="63" t="s">
        <v>53</v>
      </c>
      <c r="K31" s="63" t="s">
        <v>53</v>
      </c>
      <c r="L31" s="63">
        <v>140</v>
      </c>
      <c r="M31" s="64">
        <f t="shared" ref="M31:M36" si="6">L31*0.8</f>
        <v>112</v>
      </c>
      <c r="N31" s="63">
        <v>140</v>
      </c>
      <c r="O31" s="64">
        <f t="shared" si="4"/>
        <v>112</v>
      </c>
      <c r="P31" s="63">
        <v>150</v>
      </c>
      <c r="Q31" s="63">
        <f>P31*0.8</f>
        <v>120</v>
      </c>
      <c r="R31" s="63">
        <v>150</v>
      </c>
      <c r="S31" s="64">
        <f t="shared" ref="S31:S38" si="7">R31*0.8</f>
        <v>120</v>
      </c>
      <c r="T31" s="63">
        <v>150</v>
      </c>
      <c r="U31" s="64">
        <f t="shared" si="5"/>
        <v>120</v>
      </c>
    </row>
    <row r="32" spans="1:21" ht="13.5" customHeight="1" x14ac:dyDescent="0.15">
      <c r="A32" s="31" t="s">
        <v>19</v>
      </c>
      <c r="B32" s="30">
        <v>145</v>
      </c>
      <c r="C32" s="30">
        <f t="shared" si="1"/>
        <v>116</v>
      </c>
      <c r="D32" s="30">
        <v>145</v>
      </c>
      <c r="E32" s="30">
        <f t="shared" si="2"/>
        <v>116</v>
      </c>
      <c r="F32" s="30">
        <v>145</v>
      </c>
      <c r="G32" s="30">
        <f t="shared" si="3"/>
        <v>116</v>
      </c>
      <c r="H32" s="39" t="s">
        <v>53</v>
      </c>
      <c r="I32" s="55" t="s">
        <v>53</v>
      </c>
      <c r="J32" s="34" t="s">
        <v>53</v>
      </c>
      <c r="K32" s="34" t="s">
        <v>53</v>
      </c>
      <c r="L32" s="35">
        <v>170</v>
      </c>
      <c r="M32" s="35">
        <f t="shared" si="6"/>
        <v>136</v>
      </c>
      <c r="N32" s="28">
        <v>170</v>
      </c>
      <c r="O32" s="28">
        <f t="shared" si="4"/>
        <v>136</v>
      </c>
      <c r="P32" s="28">
        <v>175</v>
      </c>
      <c r="Q32" s="28">
        <f t="shared" ref="Q32:Q38" si="8">P32*0.8</f>
        <v>140</v>
      </c>
      <c r="R32" s="28">
        <v>175</v>
      </c>
      <c r="S32" s="28">
        <f t="shared" si="7"/>
        <v>140</v>
      </c>
      <c r="T32" s="28">
        <v>187.5</v>
      </c>
      <c r="U32" s="28">
        <f t="shared" si="5"/>
        <v>150</v>
      </c>
    </row>
    <row r="33" spans="1:21" ht="13.5" customHeight="1" x14ac:dyDescent="0.15">
      <c r="A33" s="62" t="s">
        <v>20</v>
      </c>
      <c r="B33" s="63">
        <v>155</v>
      </c>
      <c r="C33" s="63">
        <f>B33*0.8</f>
        <v>124</v>
      </c>
      <c r="D33" s="63">
        <v>155</v>
      </c>
      <c r="E33" s="63">
        <f t="shared" si="2"/>
        <v>124</v>
      </c>
      <c r="F33" s="63">
        <v>155</v>
      </c>
      <c r="G33" s="63">
        <f t="shared" si="3"/>
        <v>124</v>
      </c>
      <c r="H33" s="63" t="s">
        <v>53</v>
      </c>
      <c r="I33" s="63" t="s">
        <v>53</v>
      </c>
      <c r="J33" s="63" t="s">
        <v>53</v>
      </c>
      <c r="K33" s="63" t="s">
        <v>53</v>
      </c>
      <c r="L33" s="63" t="s">
        <v>53</v>
      </c>
      <c r="M33" s="63" t="s">
        <v>53</v>
      </c>
      <c r="N33" s="63">
        <v>170</v>
      </c>
      <c r="O33" s="64">
        <f t="shared" si="4"/>
        <v>136</v>
      </c>
      <c r="P33" s="64">
        <v>180</v>
      </c>
      <c r="Q33" s="64">
        <f t="shared" si="8"/>
        <v>144</v>
      </c>
      <c r="R33" s="63">
        <v>180</v>
      </c>
      <c r="S33" s="64">
        <f t="shared" si="7"/>
        <v>144</v>
      </c>
      <c r="T33" s="63">
        <v>190</v>
      </c>
      <c r="U33" s="64">
        <f t="shared" si="5"/>
        <v>152</v>
      </c>
    </row>
    <row r="34" spans="1:21" ht="13.5" customHeight="1" x14ac:dyDescent="0.15">
      <c r="A34" s="31" t="s">
        <v>21</v>
      </c>
      <c r="B34" s="30">
        <v>170</v>
      </c>
      <c r="C34" s="30">
        <f t="shared" si="1"/>
        <v>136</v>
      </c>
      <c r="D34" s="30">
        <v>170</v>
      </c>
      <c r="E34" s="30">
        <f t="shared" si="2"/>
        <v>136</v>
      </c>
      <c r="F34" s="30">
        <v>170</v>
      </c>
      <c r="G34" s="30">
        <f t="shared" si="3"/>
        <v>136</v>
      </c>
      <c r="H34" s="39" t="s">
        <v>53</v>
      </c>
      <c r="I34" s="55" t="s">
        <v>53</v>
      </c>
      <c r="J34" s="34" t="s">
        <v>53</v>
      </c>
      <c r="K34" s="34" t="s">
        <v>53</v>
      </c>
      <c r="L34" s="35">
        <v>186</v>
      </c>
      <c r="M34" s="35">
        <f t="shared" si="6"/>
        <v>148.80000000000001</v>
      </c>
      <c r="N34" s="28">
        <v>187.5</v>
      </c>
      <c r="O34" s="28">
        <f t="shared" si="4"/>
        <v>150</v>
      </c>
      <c r="P34" s="28">
        <v>200</v>
      </c>
      <c r="Q34" s="28">
        <f t="shared" si="8"/>
        <v>160</v>
      </c>
      <c r="R34" s="28">
        <v>200</v>
      </c>
      <c r="S34" s="28">
        <f t="shared" si="7"/>
        <v>160</v>
      </c>
      <c r="T34" s="28">
        <v>212.5</v>
      </c>
      <c r="U34" s="28">
        <f t="shared" si="5"/>
        <v>170</v>
      </c>
    </row>
    <row r="35" spans="1:21" ht="13.5" customHeight="1" x14ac:dyDescent="0.15">
      <c r="A35" s="31" t="s">
        <v>22</v>
      </c>
      <c r="B35" s="30">
        <v>187</v>
      </c>
      <c r="C35" s="30">
        <f t="shared" si="1"/>
        <v>149.6</v>
      </c>
      <c r="D35" s="30">
        <v>187</v>
      </c>
      <c r="E35" s="30">
        <f t="shared" si="2"/>
        <v>149.6</v>
      </c>
      <c r="F35" s="30">
        <v>187</v>
      </c>
      <c r="G35" s="30">
        <f t="shared" si="3"/>
        <v>149.6</v>
      </c>
      <c r="H35" s="39" t="s">
        <v>53</v>
      </c>
      <c r="I35" s="55" t="s">
        <v>53</v>
      </c>
      <c r="J35" s="34" t="s">
        <v>53</v>
      </c>
      <c r="K35" s="34" t="s">
        <v>53</v>
      </c>
      <c r="L35" s="35">
        <v>207.5</v>
      </c>
      <c r="M35" s="35">
        <f t="shared" si="6"/>
        <v>166</v>
      </c>
      <c r="N35" s="28">
        <v>213</v>
      </c>
      <c r="O35" s="28">
        <f t="shared" si="4"/>
        <v>170.4</v>
      </c>
      <c r="P35" s="28">
        <v>228.8</v>
      </c>
      <c r="Q35" s="28">
        <f t="shared" si="8"/>
        <v>183.04000000000002</v>
      </c>
      <c r="R35" s="28">
        <v>228.8</v>
      </c>
      <c r="S35" s="28">
        <f t="shared" si="7"/>
        <v>183.04000000000002</v>
      </c>
      <c r="T35" s="28">
        <v>246.8</v>
      </c>
      <c r="U35" s="28">
        <f t="shared" si="5"/>
        <v>197.44000000000003</v>
      </c>
    </row>
    <row r="36" spans="1:21" ht="13.5" customHeight="1" x14ac:dyDescent="0.15">
      <c r="A36" s="31" t="s">
        <v>23</v>
      </c>
      <c r="B36" s="30">
        <v>212</v>
      </c>
      <c r="C36" s="30">
        <f t="shared" si="1"/>
        <v>169.60000000000002</v>
      </c>
      <c r="D36" s="30">
        <v>212</v>
      </c>
      <c r="E36" s="30">
        <f t="shared" si="2"/>
        <v>169.60000000000002</v>
      </c>
      <c r="F36" s="30">
        <v>212</v>
      </c>
      <c r="G36" s="30">
        <f t="shared" si="3"/>
        <v>169.60000000000002</v>
      </c>
      <c r="H36" s="39" t="s">
        <v>53</v>
      </c>
      <c r="I36" s="55" t="s">
        <v>53</v>
      </c>
      <c r="J36" s="34" t="s">
        <v>53</v>
      </c>
      <c r="K36" s="34" t="s">
        <v>53</v>
      </c>
      <c r="L36" s="35">
        <v>250</v>
      </c>
      <c r="M36" s="35">
        <f t="shared" si="6"/>
        <v>200</v>
      </c>
      <c r="N36" s="28">
        <v>237</v>
      </c>
      <c r="O36" s="28">
        <f t="shared" si="4"/>
        <v>189.60000000000002</v>
      </c>
      <c r="P36" s="28">
        <v>258.8</v>
      </c>
      <c r="Q36" s="28">
        <f t="shared" si="8"/>
        <v>207.04000000000002</v>
      </c>
      <c r="R36" s="28">
        <v>258.8</v>
      </c>
      <c r="S36" s="28">
        <f t="shared" si="7"/>
        <v>207.04000000000002</v>
      </c>
      <c r="T36" s="28">
        <v>275</v>
      </c>
      <c r="U36" s="28">
        <f t="shared" si="5"/>
        <v>220</v>
      </c>
    </row>
    <row r="37" spans="1:21" ht="13.5" customHeight="1" x14ac:dyDescent="0.15">
      <c r="A37" s="31" t="s">
        <v>24</v>
      </c>
      <c r="B37" s="30">
        <v>250</v>
      </c>
      <c r="C37" s="30">
        <f t="shared" si="1"/>
        <v>200</v>
      </c>
      <c r="D37" s="30">
        <v>250</v>
      </c>
      <c r="E37" s="30">
        <f t="shared" si="2"/>
        <v>200</v>
      </c>
      <c r="F37" s="30">
        <v>250</v>
      </c>
      <c r="G37" s="30">
        <f t="shared" si="3"/>
        <v>200</v>
      </c>
      <c r="H37" s="39" t="s">
        <v>53</v>
      </c>
      <c r="I37" s="55" t="s">
        <v>53</v>
      </c>
      <c r="J37" s="34" t="s">
        <v>53</v>
      </c>
      <c r="K37" s="34" t="s">
        <v>53</v>
      </c>
      <c r="L37" s="34" t="s">
        <v>53</v>
      </c>
      <c r="M37" s="34" t="s">
        <v>53</v>
      </c>
      <c r="N37" s="28">
        <v>288</v>
      </c>
      <c r="O37" s="28">
        <f t="shared" si="4"/>
        <v>230.4</v>
      </c>
      <c r="P37" s="28">
        <v>300</v>
      </c>
      <c r="Q37" s="28">
        <f t="shared" si="8"/>
        <v>240</v>
      </c>
      <c r="R37" s="28">
        <v>313</v>
      </c>
      <c r="S37" s="28">
        <f t="shared" si="7"/>
        <v>250.4</v>
      </c>
      <c r="T37" s="28">
        <v>319</v>
      </c>
      <c r="U37" s="28">
        <f t="shared" si="5"/>
        <v>255.20000000000002</v>
      </c>
    </row>
    <row r="38" spans="1:21" ht="13.5" customHeight="1" x14ac:dyDescent="0.15">
      <c r="A38" s="31" t="s">
        <v>25</v>
      </c>
      <c r="B38" s="30">
        <v>265</v>
      </c>
      <c r="C38" s="30">
        <f t="shared" si="1"/>
        <v>212</v>
      </c>
      <c r="D38" s="30">
        <v>265</v>
      </c>
      <c r="E38" s="30">
        <f t="shared" si="2"/>
        <v>212</v>
      </c>
      <c r="F38" s="30">
        <v>265</v>
      </c>
      <c r="G38" s="30">
        <f t="shared" si="3"/>
        <v>212</v>
      </c>
      <c r="H38" s="39" t="s">
        <v>53</v>
      </c>
      <c r="I38" s="55" t="s">
        <v>53</v>
      </c>
      <c r="J38" s="34" t="s">
        <v>53</v>
      </c>
      <c r="K38" s="34" t="s">
        <v>53</v>
      </c>
      <c r="L38" s="49">
        <v>319</v>
      </c>
      <c r="M38" s="35">
        <f>L38*0.8</f>
        <v>255.20000000000002</v>
      </c>
      <c r="N38" s="28">
        <v>304</v>
      </c>
      <c r="O38" s="28">
        <f t="shared" si="4"/>
        <v>243.20000000000002</v>
      </c>
      <c r="P38" s="28">
        <v>312.5</v>
      </c>
      <c r="Q38" s="28">
        <f t="shared" si="8"/>
        <v>250</v>
      </c>
      <c r="R38" s="28">
        <v>331.3</v>
      </c>
      <c r="S38" s="28">
        <f t="shared" si="7"/>
        <v>265.04000000000002</v>
      </c>
      <c r="T38" s="28">
        <v>331.3</v>
      </c>
      <c r="U38" s="28">
        <f t="shared" si="5"/>
        <v>265.04000000000002</v>
      </c>
    </row>
    <row r="39" spans="1:21" ht="13.5" customHeight="1" x14ac:dyDescent="0.15">
      <c r="A39" s="31"/>
      <c r="B39" s="30"/>
      <c r="C39" s="30"/>
      <c r="D39" s="30"/>
      <c r="E39" s="30"/>
      <c r="F39" s="30"/>
      <c r="G39" s="30"/>
      <c r="H39" s="30"/>
      <c r="I39" s="29"/>
      <c r="J39" s="35"/>
      <c r="K39" s="35"/>
      <c r="L39" s="35"/>
      <c r="M39" s="35"/>
      <c r="N39" s="28"/>
      <c r="O39" s="28"/>
      <c r="P39" s="28"/>
      <c r="Q39" s="28"/>
      <c r="R39" s="28"/>
      <c r="S39" s="28"/>
      <c r="T39" s="28"/>
      <c r="U39" s="28"/>
    </row>
    <row r="40" spans="1:21" ht="13.5" customHeight="1" x14ac:dyDescent="0.15">
      <c r="A40" s="32" t="s">
        <v>29</v>
      </c>
      <c r="B40" s="30">
        <v>259</v>
      </c>
      <c r="C40" s="30">
        <f t="shared" ref="C40:C46" si="9">B40*0.8</f>
        <v>207.20000000000002</v>
      </c>
      <c r="D40" s="30">
        <v>259</v>
      </c>
      <c r="E40" s="30">
        <f t="shared" ref="E40:E46" si="10">D40*0.8</f>
        <v>207.20000000000002</v>
      </c>
      <c r="F40" s="30">
        <v>259</v>
      </c>
      <c r="G40" s="30">
        <f t="shared" ref="G40:G46" si="11">F40*0.8</f>
        <v>207.20000000000002</v>
      </c>
      <c r="H40" s="30">
        <v>259</v>
      </c>
      <c r="I40" s="29">
        <f t="shared" si="0"/>
        <v>207.20000000000002</v>
      </c>
      <c r="J40" s="35">
        <v>319</v>
      </c>
      <c r="K40" s="48">
        <f>J40*0.8</f>
        <v>255.20000000000002</v>
      </c>
      <c r="L40" s="35">
        <v>319</v>
      </c>
      <c r="M40" s="35">
        <f>L40*0.8</f>
        <v>255.20000000000002</v>
      </c>
      <c r="N40" s="28">
        <v>300</v>
      </c>
      <c r="O40" s="28">
        <f t="shared" ref="O40:O46" si="12">N40*0.8</f>
        <v>240</v>
      </c>
      <c r="P40" s="28">
        <v>313</v>
      </c>
      <c r="Q40" s="28">
        <f>P40*0.8</f>
        <v>250.4</v>
      </c>
      <c r="R40" s="28">
        <v>319</v>
      </c>
      <c r="S40" s="28">
        <f>R40*0.8</f>
        <v>255.20000000000002</v>
      </c>
      <c r="T40" s="28">
        <v>332</v>
      </c>
      <c r="U40" s="28">
        <f>T40*0.8</f>
        <v>265.60000000000002</v>
      </c>
    </row>
    <row r="41" spans="1:21" ht="13.5" customHeight="1" x14ac:dyDescent="0.15">
      <c r="A41" s="32" t="s">
        <v>30</v>
      </c>
      <c r="B41" s="30">
        <v>313</v>
      </c>
      <c r="C41" s="30">
        <f t="shared" si="9"/>
        <v>250.4</v>
      </c>
      <c r="D41" s="30">
        <v>313</v>
      </c>
      <c r="E41" s="30">
        <f t="shared" si="10"/>
        <v>250.4</v>
      </c>
      <c r="F41" s="30">
        <v>313</v>
      </c>
      <c r="G41" s="30">
        <f t="shared" si="11"/>
        <v>250.4</v>
      </c>
      <c r="H41" s="30">
        <v>295</v>
      </c>
      <c r="I41" s="29">
        <f t="shared" si="0"/>
        <v>236</v>
      </c>
      <c r="J41" s="35">
        <v>375</v>
      </c>
      <c r="K41" s="65">
        <f>J41*0.8</f>
        <v>300</v>
      </c>
      <c r="L41" s="35">
        <v>375</v>
      </c>
      <c r="M41" s="35">
        <f>L41*0.8</f>
        <v>300</v>
      </c>
      <c r="N41" s="28">
        <v>356</v>
      </c>
      <c r="O41" s="28">
        <f t="shared" si="12"/>
        <v>284.8</v>
      </c>
      <c r="P41" s="28">
        <v>375</v>
      </c>
      <c r="Q41" s="28">
        <f t="shared" ref="Q41:Q46" si="13">P41*0.8</f>
        <v>300</v>
      </c>
      <c r="R41" s="28">
        <v>388</v>
      </c>
      <c r="S41" s="28">
        <f t="shared" ref="S41:S46" si="14">R41*0.8</f>
        <v>310.40000000000003</v>
      </c>
      <c r="T41" s="28">
        <v>400</v>
      </c>
      <c r="U41" s="28">
        <f t="shared" ref="U41:U46" si="15">T41*0.8</f>
        <v>320</v>
      </c>
    </row>
    <row r="42" spans="1:21" ht="13.5" customHeight="1" x14ac:dyDescent="0.15">
      <c r="A42" s="32" t="s">
        <v>26</v>
      </c>
      <c r="B42" s="30">
        <v>320</v>
      </c>
      <c r="C42" s="30">
        <f t="shared" si="9"/>
        <v>256</v>
      </c>
      <c r="D42" s="30">
        <v>320</v>
      </c>
      <c r="E42" s="30">
        <f t="shared" si="10"/>
        <v>256</v>
      </c>
      <c r="F42" s="30">
        <v>320</v>
      </c>
      <c r="G42" s="30">
        <f t="shared" si="11"/>
        <v>256</v>
      </c>
      <c r="H42" s="30">
        <v>310</v>
      </c>
      <c r="I42" s="29">
        <f t="shared" si="0"/>
        <v>248</v>
      </c>
      <c r="J42" s="35">
        <v>375</v>
      </c>
      <c r="K42" s="65">
        <f>J42*0.8</f>
        <v>300</v>
      </c>
      <c r="L42" s="35">
        <v>375</v>
      </c>
      <c r="M42" s="35">
        <f>L42*0.8</f>
        <v>300</v>
      </c>
      <c r="N42" s="28">
        <v>363</v>
      </c>
      <c r="O42" s="28">
        <f t="shared" si="12"/>
        <v>290.40000000000003</v>
      </c>
      <c r="P42" s="28">
        <v>384</v>
      </c>
      <c r="Q42" s="28">
        <f t="shared" si="13"/>
        <v>307.20000000000005</v>
      </c>
      <c r="R42" s="28">
        <v>400</v>
      </c>
      <c r="S42" s="28">
        <f t="shared" si="14"/>
        <v>320</v>
      </c>
      <c r="T42" s="28">
        <v>400</v>
      </c>
      <c r="U42" s="28">
        <f t="shared" si="15"/>
        <v>320</v>
      </c>
    </row>
    <row r="43" spans="1:21" ht="13.5" customHeight="1" x14ac:dyDescent="0.15">
      <c r="A43" s="32" t="s">
        <v>31</v>
      </c>
      <c r="B43" s="30">
        <v>345</v>
      </c>
      <c r="C43" s="30">
        <f t="shared" si="9"/>
        <v>276</v>
      </c>
      <c r="D43" s="30">
        <v>345</v>
      </c>
      <c r="E43" s="30">
        <f t="shared" si="10"/>
        <v>276</v>
      </c>
      <c r="F43" s="30">
        <v>345</v>
      </c>
      <c r="G43" s="30">
        <f t="shared" si="11"/>
        <v>276</v>
      </c>
      <c r="H43" s="30">
        <v>345</v>
      </c>
      <c r="I43" s="29">
        <f t="shared" si="0"/>
        <v>276</v>
      </c>
      <c r="J43" s="35" t="s">
        <v>53</v>
      </c>
      <c r="K43" s="35" t="s">
        <v>53</v>
      </c>
      <c r="L43" s="35" t="s">
        <v>53</v>
      </c>
      <c r="M43" s="35" t="s">
        <v>53</v>
      </c>
      <c r="N43" s="28">
        <v>406</v>
      </c>
      <c r="O43" s="28">
        <f t="shared" si="12"/>
        <v>324.8</v>
      </c>
      <c r="P43" s="28">
        <v>419</v>
      </c>
      <c r="Q43" s="28">
        <f t="shared" si="13"/>
        <v>335.20000000000005</v>
      </c>
      <c r="R43" s="28">
        <v>431</v>
      </c>
      <c r="S43" s="28">
        <f t="shared" si="14"/>
        <v>344.8</v>
      </c>
      <c r="T43" s="28">
        <v>444</v>
      </c>
      <c r="U43" s="28">
        <f t="shared" si="15"/>
        <v>355.20000000000005</v>
      </c>
    </row>
    <row r="44" spans="1:21" ht="13.5" customHeight="1" x14ac:dyDescent="0.15">
      <c r="A44" s="32" t="s">
        <v>27</v>
      </c>
      <c r="B44" s="30">
        <v>368</v>
      </c>
      <c r="C44" s="30">
        <f t="shared" si="9"/>
        <v>294.40000000000003</v>
      </c>
      <c r="D44" s="30">
        <v>368</v>
      </c>
      <c r="E44" s="30">
        <f t="shared" si="10"/>
        <v>294.40000000000003</v>
      </c>
      <c r="F44" s="30">
        <v>368</v>
      </c>
      <c r="G44" s="30">
        <f t="shared" si="11"/>
        <v>294.40000000000003</v>
      </c>
      <c r="H44" s="30">
        <v>368</v>
      </c>
      <c r="I44" s="29">
        <f t="shared" si="0"/>
        <v>294.40000000000003</v>
      </c>
      <c r="J44" s="35" t="s">
        <v>53</v>
      </c>
      <c r="K44" s="35" t="s">
        <v>53</v>
      </c>
      <c r="L44" s="35" t="s">
        <v>53</v>
      </c>
      <c r="M44" s="35" t="s">
        <v>53</v>
      </c>
      <c r="N44" s="28">
        <v>417</v>
      </c>
      <c r="O44" s="28">
        <f t="shared" si="12"/>
        <v>333.6</v>
      </c>
      <c r="P44" s="28">
        <v>442</v>
      </c>
      <c r="Q44" s="28">
        <f t="shared" si="13"/>
        <v>353.6</v>
      </c>
      <c r="R44" s="28">
        <v>460</v>
      </c>
      <c r="S44" s="28">
        <f t="shared" si="14"/>
        <v>368</v>
      </c>
      <c r="T44" s="28">
        <v>460</v>
      </c>
      <c r="U44" s="28">
        <f t="shared" si="15"/>
        <v>368</v>
      </c>
    </row>
    <row r="45" spans="1:21" ht="13.5" customHeight="1" x14ac:dyDescent="0.15">
      <c r="A45" s="32" t="s">
        <v>32</v>
      </c>
      <c r="B45" s="30">
        <v>390</v>
      </c>
      <c r="C45" s="30">
        <f t="shared" si="9"/>
        <v>312</v>
      </c>
      <c r="D45" s="30">
        <v>390</v>
      </c>
      <c r="E45" s="30">
        <f t="shared" si="10"/>
        <v>312</v>
      </c>
      <c r="F45" s="30">
        <v>390</v>
      </c>
      <c r="G45" s="30">
        <f t="shared" si="11"/>
        <v>312</v>
      </c>
      <c r="H45" s="30">
        <v>390</v>
      </c>
      <c r="I45" s="29">
        <f t="shared" si="0"/>
        <v>312</v>
      </c>
      <c r="J45" s="35">
        <v>500</v>
      </c>
      <c r="K45" s="35">
        <f>J45*0.8</f>
        <v>400</v>
      </c>
      <c r="L45" s="35">
        <v>500</v>
      </c>
      <c r="M45" s="35">
        <f>L45*0.8</f>
        <v>400</v>
      </c>
      <c r="N45" s="28">
        <v>475</v>
      </c>
      <c r="O45" s="28">
        <f t="shared" si="12"/>
        <v>380</v>
      </c>
      <c r="P45" s="28">
        <v>483</v>
      </c>
      <c r="Q45" s="28">
        <f t="shared" si="13"/>
        <v>386.40000000000003</v>
      </c>
      <c r="R45" s="28">
        <v>488</v>
      </c>
      <c r="S45" s="28">
        <f t="shared" si="14"/>
        <v>390.40000000000003</v>
      </c>
      <c r="T45" s="28">
        <v>500</v>
      </c>
      <c r="U45" s="28">
        <f t="shared" si="15"/>
        <v>400</v>
      </c>
    </row>
    <row r="46" spans="1:21" ht="13.5" customHeight="1" x14ac:dyDescent="0.15">
      <c r="A46" s="32" t="s">
        <v>28</v>
      </c>
      <c r="B46" s="30">
        <v>427</v>
      </c>
      <c r="C46" s="30">
        <f t="shared" si="9"/>
        <v>341.6</v>
      </c>
      <c r="D46" s="30">
        <v>427</v>
      </c>
      <c r="E46" s="30">
        <f t="shared" si="10"/>
        <v>341.6</v>
      </c>
      <c r="F46" s="30">
        <v>427</v>
      </c>
      <c r="G46" s="30">
        <f t="shared" si="11"/>
        <v>341.6</v>
      </c>
      <c r="H46" s="30">
        <v>427</v>
      </c>
      <c r="I46" s="29">
        <f t="shared" si="0"/>
        <v>341.6</v>
      </c>
      <c r="J46" s="35">
        <v>535</v>
      </c>
      <c r="K46" s="35">
        <f>J46*0.8</f>
        <v>428</v>
      </c>
      <c r="L46" s="35">
        <v>535</v>
      </c>
      <c r="M46" s="35">
        <f>L46*0.8</f>
        <v>428</v>
      </c>
      <c r="N46" s="28">
        <v>486</v>
      </c>
      <c r="O46" s="28">
        <f t="shared" si="12"/>
        <v>388.8</v>
      </c>
      <c r="P46" s="28">
        <v>514</v>
      </c>
      <c r="Q46" s="28">
        <f t="shared" si="13"/>
        <v>411.20000000000005</v>
      </c>
      <c r="R46" s="28">
        <v>535</v>
      </c>
      <c r="S46" s="28">
        <f t="shared" si="14"/>
        <v>428</v>
      </c>
      <c r="T46" s="28">
        <v>535</v>
      </c>
      <c r="U46" s="28">
        <f t="shared" si="15"/>
        <v>428</v>
      </c>
    </row>
    <row r="47" spans="1:21" ht="13.5" customHeight="1" x14ac:dyDescent="0.15">
      <c r="A47" s="32"/>
      <c r="B47" s="30"/>
      <c r="C47" s="30"/>
      <c r="D47" s="30"/>
      <c r="E47" s="30"/>
      <c r="F47" s="30"/>
      <c r="G47" s="30"/>
      <c r="H47" s="30"/>
      <c r="I47" s="29"/>
      <c r="J47" s="35"/>
      <c r="K47" s="35"/>
      <c r="L47" s="35"/>
      <c r="M47" s="35"/>
      <c r="N47" s="28"/>
      <c r="O47" s="28"/>
      <c r="P47" s="28"/>
      <c r="Q47" s="28"/>
      <c r="R47" s="28"/>
      <c r="S47" s="28"/>
      <c r="T47" s="28"/>
      <c r="U47" s="28"/>
    </row>
    <row r="48" spans="1:21" ht="13.5" customHeight="1" x14ac:dyDescent="0.15">
      <c r="A48" s="32" t="s">
        <v>33</v>
      </c>
      <c r="B48" s="22">
        <v>478</v>
      </c>
      <c r="C48" s="30">
        <f t="shared" ref="C48:C53" si="16">B48*0.8</f>
        <v>382.40000000000003</v>
      </c>
      <c r="D48" s="22">
        <v>478</v>
      </c>
      <c r="E48" s="30">
        <f t="shared" ref="E48:E53" si="17">D48*0.8</f>
        <v>382.40000000000003</v>
      </c>
      <c r="F48" s="22">
        <v>478</v>
      </c>
      <c r="G48" s="30">
        <f t="shared" ref="G48:G53" si="18">F48*0.8</f>
        <v>382.40000000000003</v>
      </c>
      <c r="H48" s="30">
        <v>478</v>
      </c>
      <c r="I48" s="29">
        <f t="shared" si="0"/>
        <v>382.40000000000003</v>
      </c>
      <c r="J48" s="35">
        <v>520</v>
      </c>
      <c r="K48" s="35">
        <f>J48*0.8</f>
        <v>416</v>
      </c>
      <c r="L48" s="35">
        <v>520</v>
      </c>
      <c r="M48" s="35">
        <f>L48*0.8</f>
        <v>416</v>
      </c>
      <c r="N48" s="28">
        <v>567</v>
      </c>
      <c r="O48" s="28">
        <f t="shared" ref="O48:O53" si="19">N48*0.8</f>
        <v>453.6</v>
      </c>
      <c r="P48" s="28">
        <v>600</v>
      </c>
      <c r="Q48" s="28">
        <f t="shared" ref="Q48:Q53" si="20">P48*0.8</f>
        <v>480</v>
      </c>
      <c r="R48" s="28">
        <v>625</v>
      </c>
      <c r="S48" s="28">
        <f t="shared" ref="S48:S53" si="21">R48*0.8</f>
        <v>500</v>
      </c>
      <c r="T48" s="28">
        <v>625</v>
      </c>
      <c r="U48" s="28">
        <f t="shared" ref="U48:U53" si="22">T48*0.8</f>
        <v>500</v>
      </c>
    </row>
    <row r="49" spans="1:21" ht="13.5" customHeight="1" x14ac:dyDescent="0.15">
      <c r="A49" s="32" t="s">
        <v>34</v>
      </c>
      <c r="B49" s="30">
        <v>515</v>
      </c>
      <c r="C49" s="30">
        <f t="shared" si="16"/>
        <v>412</v>
      </c>
      <c r="D49" s="30">
        <v>515</v>
      </c>
      <c r="E49" s="30">
        <f t="shared" si="17"/>
        <v>412</v>
      </c>
      <c r="F49" s="30">
        <v>515</v>
      </c>
      <c r="G49" s="30">
        <f t="shared" si="18"/>
        <v>412</v>
      </c>
      <c r="H49" s="30">
        <v>515</v>
      </c>
      <c r="I49" s="29">
        <f t="shared" si="0"/>
        <v>412</v>
      </c>
      <c r="J49" s="35">
        <v>655</v>
      </c>
      <c r="K49" s="35">
        <f>J49*0.8</f>
        <v>524</v>
      </c>
      <c r="L49" s="35">
        <v>655</v>
      </c>
      <c r="M49" s="35">
        <f>L49*0.8</f>
        <v>524</v>
      </c>
      <c r="N49" s="28">
        <v>610</v>
      </c>
      <c r="O49" s="28">
        <f t="shared" si="19"/>
        <v>488</v>
      </c>
      <c r="P49" s="28">
        <v>646</v>
      </c>
      <c r="Q49" s="28">
        <f t="shared" si="20"/>
        <v>516.80000000000007</v>
      </c>
      <c r="R49" s="28">
        <v>673</v>
      </c>
      <c r="S49" s="28">
        <f t="shared" si="21"/>
        <v>538.4</v>
      </c>
      <c r="T49" s="28">
        <v>673</v>
      </c>
      <c r="U49" s="28">
        <f t="shared" si="22"/>
        <v>538.4</v>
      </c>
    </row>
    <row r="50" spans="1:21" ht="13.5" customHeight="1" x14ac:dyDescent="0.15">
      <c r="A50" s="59" t="s">
        <v>35</v>
      </c>
      <c r="B50" s="60">
        <v>600</v>
      </c>
      <c r="C50" s="60">
        <f t="shared" si="16"/>
        <v>480</v>
      </c>
      <c r="D50" s="60">
        <v>600</v>
      </c>
      <c r="E50" s="60">
        <f t="shared" si="17"/>
        <v>480</v>
      </c>
      <c r="F50" s="60">
        <v>600</v>
      </c>
      <c r="G50" s="60">
        <f t="shared" si="18"/>
        <v>480</v>
      </c>
      <c r="H50" s="60">
        <v>600</v>
      </c>
      <c r="I50" s="61">
        <f t="shared" si="0"/>
        <v>480</v>
      </c>
      <c r="J50" s="60" t="s">
        <v>53</v>
      </c>
      <c r="K50" s="60" t="s">
        <v>53</v>
      </c>
      <c r="L50" s="60" t="s">
        <v>53</v>
      </c>
      <c r="M50" s="60" t="s">
        <v>53</v>
      </c>
      <c r="N50" s="60">
        <v>635</v>
      </c>
      <c r="O50" s="60">
        <f t="shared" si="19"/>
        <v>508</v>
      </c>
      <c r="P50" s="60">
        <v>650</v>
      </c>
      <c r="Q50" s="60">
        <f t="shared" si="20"/>
        <v>520</v>
      </c>
      <c r="R50" s="60">
        <v>670</v>
      </c>
      <c r="S50" s="60">
        <f t="shared" si="21"/>
        <v>536</v>
      </c>
      <c r="T50" s="60">
        <v>700</v>
      </c>
      <c r="U50" s="60">
        <f t="shared" si="22"/>
        <v>560</v>
      </c>
    </row>
    <row r="51" spans="1:21" ht="13.5" customHeight="1" x14ac:dyDescent="0.15">
      <c r="A51" s="32" t="s">
        <v>36</v>
      </c>
      <c r="B51" s="22">
        <v>636</v>
      </c>
      <c r="C51" s="30">
        <f t="shared" si="16"/>
        <v>508.8</v>
      </c>
      <c r="D51" s="22">
        <v>636</v>
      </c>
      <c r="E51" s="30">
        <f t="shared" si="17"/>
        <v>508.8</v>
      </c>
      <c r="F51" s="22">
        <v>636</v>
      </c>
      <c r="G51" s="30">
        <f t="shared" si="18"/>
        <v>508.8</v>
      </c>
      <c r="H51" s="30">
        <v>636</v>
      </c>
      <c r="I51" s="29">
        <f t="shared" si="0"/>
        <v>508.8</v>
      </c>
      <c r="J51" s="35">
        <v>710</v>
      </c>
      <c r="K51" s="35">
        <f>J51*0.8</f>
        <v>568</v>
      </c>
      <c r="L51" s="35">
        <v>710</v>
      </c>
      <c r="M51" s="35">
        <f>L51*0.8</f>
        <v>568</v>
      </c>
      <c r="N51" s="28">
        <v>726</v>
      </c>
      <c r="O51" s="28">
        <f t="shared" si="19"/>
        <v>580.80000000000007</v>
      </c>
      <c r="P51" s="28">
        <v>768</v>
      </c>
      <c r="Q51" s="28">
        <f t="shared" si="20"/>
        <v>614.40000000000009</v>
      </c>
      <c r="R51" s="28">
        <v>800</v>
      </c>
      <c r="S51" s="28">
        <f t="shared" si="21"/>
        <v>640</v>
      </c>
      <c r="T51" s="28">
        <v>800</v>
      </c>
      <c r="U51" s="28">
        <f t="shared" si="22"/>
        <v>640</v>
      </c>
    </row>
    <row r="52" spans="1:21" ht="13.5" customHeight="1" x14ac:dyDescent="0.15">
      <c r="A52" s="59" t="s">
        <v>47</v>
      </c>
      <c r="B52" s="60">
        <v>650</v>
      </c>
      <c r="C52" s="60">
        <f t="shared" si="16"/>
        <v>520</v>
      </c>
      <c r="D52" s="60">
        <v>650</v>
      </c>
      <c r="E52" s="60">
        <f t="shared" si="17"/>
        <v>520</v>
      </c>
      <c r="F52" s="60">
        <v>650</v>
      </c>
      <c r="G52" s="60">
        <f t="shared" si="18"/>
        <v>520</v>
      </c>
      <c r="H52" s="60">
        <v>650</v>
      </c>
      <c r="I52" s="60">
        <f t="shared" si="0"/>
        <v>520</v>
      </c>
      <c r="J52" s="60">
        <v>750</v>
      </c>
      <c r="K52" s="60">
        <f>J52*0.8</f>
        <v>600</v>
      </c>
      <c r="L52" s="60">
        <v>750</v>
      </c>
      <c r="M52" s="64">
        <f>L52*0.8</f>
        <v>600</v>
      </c>
      <c r="N52" s="60">
        <v>700</v>
      </c>
      <c r="O52" s="60">
        <f t="shared" si="19"/>
        <v>560</v>
      </c>
      <c r="P52" s="60">
        <v>735</v>
      </c>
      <c r="Q52" s="60">
        <f t="shared" si="20"/>
        <v>588</v>
      </c>
      <c r="R52" s="60">
        <v>755</v>
      </c>
      <c r="S52" s="60">
        <f t="shared" si="21"/>
        <v>604</v>
      </c>
      <c r="T52" s="60">
        <v>765</v>
      </c>
      <c r="U52" s="60">
        <f t="shared" si="22"/>
        <v>612</v>
      </c>
    </row>
    <row r="53" spans="1:21" x14ac:dyDescent="0.15">
      <c r="A53" s="32" t="s">
        <v>37</v>
      </c>
      <c r="B53" s="22">
        <v>710</v>
      </c>
      <c r="C53" s="30">
        <f t="shared" si="16"/>
        <v>568</v>
      </c>
      <c r="D53" s="22">
        <v>710</v>
      </c>
      <c r="E53" s="30">
        <f t="shared" si="17"/>
        <v>568</v>
      </c>
      <c r="F53" s="22">
        <v>710</v>
      </c>
      <c r="G53" s="30">
        <f t="shared" si="18"/>
        <v>568</v>
      </c>
      <c r="H53" s="30">
        <v>690</v>
      </c>
      <c r="I53" s="29">
        <f t="shared" si="0"/>
        <v>552</v>
      </c>
      <c r="J53" s="35">
        <v>875</v>
      </c>
      <c r="K53" s="35">
        <f>J53*0.8</f>
        <v>700</v>
      </c>
      <c r="L53" s="35">
        <v>875</v>
      </c>
      <c r="M53" s="35">
        <f>L53*0.8</f>
        <v>700</v>
      </c>
      <c r="N53" s="28">
        <v>825</v>
      </c>
      <c r="O53" s="28">
        <f t="shared" si="19"/>
        <v>660</v>
      </c>
      <c r="P53" s="28">
        <v>873</v>
      </c>
      <c r="Q53" s="28">
        <f t="shared" si="20"/>
        <v>698.40000000000009</v>
      </c>
      <c r="R53" s="28">
        <v>909</v>
      </c>
      <c r="S53" s="28">
        <f t="shared" si="21"/>
        <v>727.2</v>
      </c>
      <c r="T53" s="28">
        <v>909</v>
      </c>
      <c r="U53" s="28">
        <f t="shared" si="22"/>
        <v>727.2</v>
      </c>
    </row>
    <row r="54" spans="1:21" x14ac:dyDescent="0.15">
      <c r="A54" s="1"/>
      <c r="B54" s="9"/>
      <c r="C54" s="10"/>
      <c r="D54" s="11"/>
      <c r="E54" s="10"/>
      <c r="F54" s="11"/>
      <c r="G54" s="12"/>
      <c r="H54" s="10"/>
      <c r="I54" s="10"/>
      <c r="J54" s="13"/>
      <c r="K54" s="10"/>
      <c r="L54" s="10"/>
      <c r="M54" s="10"/>
      <c r="N54" s="14"/>
      <c r="O54" s="14"/>
      <c r="P54" s="14"/>
      <c r="Q54" s="14"/>
      <c r="R54" s="14"/>
      <c r="S54" s="14"/>
      <c r="T54" s="14"/>
      <c r="U54" s="15"/>
    </row>
    <row r="55" spans="1:21" x14ac:dyDescent="0.15">
      <c r="A55" s="24" t="s">
        <v>68</v>
      </c>
      <c r="B55" s="139" t="s">
        <v>66</v>
      </c>
      <c r="C55" s="140"/>
      <c r="D55" s="140"/>
      <c r="E55" s="140"/>
      <c r="F55" s="140"/>
      <c r="G55" s="140"/>
      <c r="H55" s="140"/>
      <c r="I55" s="141"/>
      <c r="J55" s="135" t="s">
        <v>67</v>
      </c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6"/>
    </row>
    <row r="56" spans="1:21" x14ac:dyDescent="0.15">
      <c r="A56" s="24" t="s">
        <v>58</v>
      </c>
      <c r="B56" s="128">
        <v>0.8</v>
      </c>
      <c r="C56" s="129"/>
      <c r="D56" s="128">
        <v>0.8</v>
      </c>
      <c r="E56" s="129"/>
      <c r="F56" s="128">
        <v>0.8</v>
      </c>
      <c r="G56" s="129"/>
      <c r="H56" s="128">
        <v>0.8</v>
      </c>
      <c r="I56" s="129"/>
      <c r="J56" s="130">
        <v>0.8</v>
      </c>
      <c r="K56" s="131"/>
      <c r="L56" s="20">
        <v>0.8</v>
      </c>
      <c r="M56" s="21"/>
      <c r="N56" s="20">
        <v>0.8</v>
      </c>
      <c r="O56" s="21"/>
      <c r="P56" s="130">
        <v>0.8</v>
      </c>
      <c r="Q56" s="131"/>
      <c r="R56" s="130">
        <v>0.8</v>
      </c>
      <c r="S56" s="131"/>
      <c r="T56" s="130">
        <v>0.8</v>
      </c>
      <c r="U56" s="131"/>
    </row>
    <row r="57" spans="1:21" x14ac:dyDescent="0.15">
      <c r="A57" s="24" t="s">
        <v>59</v>
      </c>
      <c r="B57" s="17"/>
      <c r="C57" s="18"/>
      <c r="D57" s="17"/>
      <c r="E57" s="18"/>
      <c r="F57" s="17"/>
      <c r="G57" s="18"/>
      <c r="H57" s="53"/>
      <c r="I57" s="53"/>
      <c r="J57" s="20"/>
      <c r="K57" s="21"/>
      <c r="L57" s="20"/>
      <c r="M57" s="21"/>
      <c r="N57" s="20"/>
      <c r="O57" s="21"/>
      <c r="P57" s="20"/>
      <c r="Q57" s="21"/>
      <c r="R57" s="20"/>
      <c r="S57" s="21"/>
      <c r="T57" s="20"/>
      <c r="U57" s="21"/>
    </row>
    <row r="58" spans="1:21" x14ac:dyDescent="0.15">
      <c r="A58" s="24" t="s">
        <v>104</v>
      </c>
      <c r="B58" s="128">
        <v>380</v>
      </c>
      <c r="C58" s="129"/>
      <c r="D58" s="137">
        <v>400</v>
      </c>
      <c r="E58" s="137"/>
      <c r="F58" s="128">
        <v>415</v>
      </c>
      <c r="G58" s="129"/>
      <c r="H58" s="128">
        <v>440</v>
      </c>
      <c r="I58" s="129"/>
      <c r="J58" s="130" t="s">
        <v>48</v>
      </c>
      <c r="K58" s="131"/>
      <c r="L58" s="20"/>
      <c r="M58" s="21"/>
      <c r="N58" s="54">
        <v>416</v>
      </c>
      <c r="O58" s="52"/>
      <c r="P58" s="130">
        <v>440</v>
      </c>
      <c r="Q58" s="131"/>
      <c r="R58" s="130">
        <v>460</v>
      </c>
      <c r="S58" s="131"/>
      <c r="T58" s="130">
        <v>480</v>
      </c>
      <c r="U58" s="131"/>
    </row>
    <row r="59" spans="1:21" x14ac:dyDescent="0.15">
      <c r="A59" s="24" t="s">
        <v>105</v>
      </c>
      <c r="B59" s="128">
        <v>220</v>
      </c>
      <c r="C59" s="129"/>
      <c r="D59" s="128">
        <v>230</v>
      </c>
      <c r="E59" s="129"/>
      <c r="F59" s="128">
        <v>240</v>
      </c>
      <c r="G59" s="129"/>
      <c r="H59" s="128">
        <v>254</v>
      </c>
      <c r="I59" s="129"/>
      <c r="J59" s="130" t="s">
        <v>50</v>
      </c>
      <c r="K59" s="131"/>
      <c r="L59" s="20"/>
      <c r="M59" s="21"/>
      <c r="N59" s="54">
        <v>240</v>
      </c>
      <c r="O59" s="52"/>
      <c r="P59" s="126">
        <v>254</v>
      </c>
      <c r="Q59" s="127"/>
      <c r="R59" s="126">
        <v>266</v>
      </c>
      <c r="S59" s="127"/>
      <c r="T59" s="126">
        <v>277</v>
      </c>
      <c r="U59" s="127"/>
    </row>
    <row r="60" spans="1:21" x14ac:dyDescent="0.15">
      <c r="A60" s="24" t="s">
        <v>106</v>
      </c>
      <c r="B60" s="128">
        <v>380</v>
      </c>
      <c r="C60" s="129"/>
      <c r="D60" s="137">
        <v>400</v>
      </c>
      <c r="E60" s="137"/>
      <c r="F60" s="128">
        <v>415</v>
      </c>
      <c r="G60" s="129"/>
      <c r="H60" s="128">
        <v>440</v>
      </c>
      <c r="I60" s="129"/>
      <c r="J60" s="135" t="s">
        <v>53</v>
      </c>
      <c r="K60" s="136"/>
      <c r="L60" s="130" t="s">
        <v>48</v>
      </c>
      <c r="M60" s="131"/>
      <c r="N60" s="54">
        <v>416</v>
      </c>
      <c r="O60" s="52"/>
      <c r="P60" s="130">
        <v>440</v>
      </c>
      <c r="Q60" s="131"/>
      <c r="R60" s="130">
        <v>460</v>
      </c>
      <c r="S60" s="131"/>
      <c r="T60" s="130">
        <v>480</v>
      </c>
      <c r="U60" s="131"/>
    </row>
    <row r="61" spans="1:21" x14ac:dyDescent="0.15">
      <c r="A61" s="24" t="s">
        <v>107</v>
      </c>
      <c r="B61" s="128">
        <v>190</v>
      </c>
      <c r="C61" s="129"/>
      <c r="D61" s="128">
        <v>200</v>
      </c>
      <c r="E61" s="129"/>
      <c r="F61" s="128">
        <v>208</v>
      </c>
      <c r="G61" s="129"/>
      <c r="H61" s="128">
        <v>220</v>
      </c>
      <c r="I61" s="129"/>
      <c r="J61" s="130" t="s">
        <v>53</v>
      </c>
      <c r="K61" s="131"/>
      <c r="L61" s="130" t="s">
        <v>49</v>
      </c>
      <c r="M61" s="131"/>
      <c r="N61" s="126">
        <v>208</v>
      </c>
      <c r="O61" s="127"/>
      <c r="P61" s="126">
        <v>220</v>
      </c>
      <c r="Q61" s="127"/>
      <c r="R61" s="126">
        <v>230</v>
      </c>
      <c r="S61" s="127"/>
      <c r="T61" s="126">
        <v>240</v>
      </c>
      <c r="U61" s="127"/>
    </row>
    <row r="62" spans="1:21" x14ac:dyDescent="0.15">
      <c r="A62" s="25" t="s">
        <v>62</v>
      </c>
      <c r="B62" s="128">
        <v>220</v>
      </c>
      <c r="C62" s="129"/>
      <c r="D62" s="128">
        <v>230</v>
      </c>
      <c r="E62" s="129"/>
      <c r="F62" s="128">
        <v>240</v>
      </c>
      <c r="G62" s="129"/>
      <c r="H62" s="128">
        <v>254</v>
      </c>
      <c r="I62" s="129"/>
      <c r="J62" s="135" t="s">
        <v>53</v>
      </c>
      <c r="K62" s="136"/>
      <c r="L62" s="130" t="s">
        <v>50</v>
      </c>
      <c r="M62" s="131"/>
      <c r="N62" s="54">
        <v>240</v>
      </c>
      <c r="O62" s="52"/>
      <c r="P62" s="126">
        <v>254</v>
      </c>
      <c r="Q62" s="127"/>
      <c r="R62" s="126">
        <v>266</v>
      </c>
      <c r="S62" s="127"/>
      <c r="T62" s="126">
        <v>277</v>
      </c>
      <c r="U62" s="127"/>
    </row>
    <row r="63" spans="1:21" x14ac:dyDescent="0.15">
      <c r="A63" s="25" t="s">
        <v>63</v>
      </c>
      <c r="B63" s="128" t="s">
        <v>55</v>
      </c>
      <c r="C63" s="129"/>
      <c r="D63" s="128" t="s">
        <v>55</v>
      </c>
      <c r="E63" s="129"/>
      <c r="F63" s="128" t="s">
        <v>55</v>
      </c>
      <c r="G63" s="129"/>
      <c r="H63" s="128" t="s">
        <v>55</v>
      </c>
      <c r="I63" s="129"/>
      <c r="J63" s="130">
        <v>13</v>
      </c>
      <c r="K63" s="131"/>
      <c r="L63" s="20">
        <v>14</v>
      </c>
      <c r="M63" s="21"/>
      <c r="N63" s="54" t="s">
        <v>55</v>
      </c>
      <c r="O63" s="52"/>
      <c r="P63" s="126" t="s">
        <v>55</v>
      </c>
      <c r="Q63" s="127"/>
      <c r="R63" s="126" t="s">
        <v>55</v>
      </c>
      <c r="S63" s="127"/>
      <c r="T63" s="126" t="s">
        <v>55</v>
      </c>
      <c r="U63" s="127"/>
    </row>
    <row r="64" spans="1:21" x14ac:dyDescent="0.15">
      <c r="A64" s="26" t="s">
        <v>64</v>
      </c>
      <c r="B64" s="19" t="s">
        <v>0</v>
      </c>
      <c r="C64" s="19" t="s">
        <v>1</v>
      </c>
      <c r="D64" s="19" t="s">
        <v>0</v>
      </c>
      <c r="E64" s="19" t="s">
        <v>1</v>
      </c>
      <c r="F64" s="19" t="s">
        <v>0</v>
      </c>
      <c r="G64" s="19" t="s">
        <v>1</v>
      </c>
      <c r="H64" s="19" t="s">
        <v>0</v>
      </c>
      <c r="I64" s="19" t="s">
        <v>1</v>
      </c>
      <c r="J64" s="22" t="s">
        <v>51</v>
      </c>
      <c r="K64" s="23" t="s">
        <v>52</v>
      </c>
      <c r="L64" s="22" t="s">
        <v>51</v>
      </c>
      <c r="M64" s="23" t="s">
        <v>52</v>
      </c>
      <c r="N64" s="23" t="s">
        <v>0</v>
      </c>
      <c r="O64" s="23" t="s">
        <v>1</v>
      </c>
      <c r="P64" s="23" t="s">
        <v>0</v>
      </c>
      <c r="Q64" s="23" t="s">
        <v>1</v>
      </c>
      <c r="R64" s="23" t="s">
        <v>0</v>
      </c>
      <c r="S64" s="23" t="s">
        <v>1</v>
      </c>
      <c r="T64" s="23" t="s">
        <v>0</v>
      </c>
      <c r="U64" s="23" t="s">
        <v>1</v>
      </c>
    </row>
    <row r="65" spans="1:21" x14ac:dyDescent="0.15">
      <c r="A65" s="32" t="s">
        <v>39</v>
      </c>
      <c r="B65" s="22">
        <v>730</v>
      </c>
      <c r="C65" s="30">
        <f t="shared" ref="C65:C70" si="23">B65*0.8</f>
        <v>584</v>
      </c>
      <c r="D65" s="22">
        <v>775</v>
      </c>
      <c r="E65" s="30">
        <f t="shared" ref="E65:E70" si="24">D65*0.8</f>
        <v>620</v>
      </c>
      <c r="F65" s="22">
        <v>775</v>
      </c>
      <c r="G65" s="30">
        <f t="shared" ref="G65:G70" si="25">F65*0.8</f>
        <v>620</v>
      </c>
      <c r="H65" s="30">
        <v>700</v>
      </c>
      <c r="I65" s="30">
        <f t="shared" ref="I65:I70" si="26">H65*0.8</f>
        <v>560</v>
      </c>
      <c r="J65" s="35">
        <v>968</v>
      </c>
      <c r="K65" s="35">
        <f>J65*0.8</f>
        <v>774.40000000000009</v>
      </c>
      <c r="L65" s="35">
        <v>968</v>
      </c>
      <c r="M65" s="35">
        <f>L65*0.8</f>
        <v>774.40000000000009</v>
      </c>
      <c r="N65" s="28">
        <v>840</v>
      </c>
      <c r="O65" s="28">
        <f t="shared" ref="O65:O70" si="27">N65*0.8</f>
        <v>672</v>
      </c>
      <c r="P65" s="28">
        <v>889</v>
      </c>
      <c r="Q65" s="28">
        <f t="shared" ref="Q65:Q70" si="28">P65*0.8</f>
        <v>711.2</v>
      </c>
      <c r="R65" s="28">
        <v>929</v>
      </c>
      <c r="S65" s="28">
        <f t="shared" ref="S65:S70" si="29">R65*0.8</f>
        <v>743.2</v>
      </c>
      <c r="T65" s="28">
        <v>970</v>
      </c>
      <c r="U65" s="28">
        <f t="shared" ref="U65:U70" si="30">T65*0.8</f>
        <v>776</v>
      </c>
    </row>
    <row r="66" spans="1:21" x14ac:dyDescent="0.15">
      <c r="A66" s="33" t="s">
        <v>54</v>
      </c>
      <c r="B66" s="22">
        <v>785</v>
      </c>
      <c r="C66" s="30">
        <f t="shared" si="23"/>
        <v>628</v>
      </c>
      <c r="D66" s="22">
        <v>825</v>
      </c>
      <c r="E66" s="30">
        <f t="shared" si="24"/>
        <v>660</v>
      </c>
      <c r="F66" s="22">
        <v>825</v>
      </c>
      <c r="G66" s="30">
        <f t="shared" si="25"/>
        <v>660</v>
      </c>
      <c r="H66" s="30">
        <v>745</v>
      </c>
      <c r="I66" s="30">
        <f t="shared" si="26"/>
        <v>596</v>
      </c>
      <c r="J66" s="35" t="s">
        <v>53</v>
      </c>
      <c r="K66" s="35" t="s">
        <v>53</v>
      </c>
      <c r="L66" s="35" t="s">
        <v>53</v>
      </c>
      <c r="M66" s="35" t="s">
        <v>53</v>
      </c>
      <c r="N66" s="28">
        <v>897</v>
      </c>
      <c r="O66" s="28">
        <f t="shared" si="27"/>
        <v>717.6</v>
      </c>
      <c r="P66" s="28">
        <v>948</v>
      </c>
      <c r="Q66" s="28">
        <f t="shared" si="28"/>
        <v>758.40000000000009</v>
      </c>
      <c r="R66" s="28">
        <v>992</v>
      </c>
      <c r="S66" s="28">
        <f t="shared" si="29"/>
        <v>793.6</v>
      </c>
      <c r="T66" s="28">
        <v>1035</v>
      </c>
      <c r="U66" s="28">
        <f t="shared" si="30"/>
        <v>828</v>
      </c>
    </row>
    <row r="67" spans="1:21" x14ac:dyDescent="0.15">
      <c r="A67" s="32" t="s">
        <v>40</v>
      </c>
      <c r="B67" s="22">
        <v>890</v>
      </c>
      <c r="C67" s="30">
        <f t="shared" si="23"/>
        <v>712</v>
      </c>
      <c r="D67" s="22">
        <v>938</v>
      </c>
      <c r="E67" s="30">
        <f t="shared" si="24"/>
        <v>750.40000000000009</v>
      </c>
      <c r="F67" s="22">
        <v>938</v>
      </c>
      <c r="G67" s="30">
        <f t="shared" si="25"/>
        <v>750.40000000000009</v>
      </c>
      <c r="H67" s="30">
        <v>850</v>
      </c>
      <c r="I67" s="30">
        <f t="shared" si="26"/>
        <v>680</v>
      </c>
      <c r="J67" s="35">
        <v>1097</v>
      </c>
      <c r="K67" s="35">
        <f t="shared" ref="K67:K75" si="31">J67*0.8</f>
        <v>877.6</v>
      </c>
      <c r="L67" s="35">
        <v>1097</v>
      </c>
      <c r="M67" s="35">
        <f>L67*0.8</f>
        <v>877.6</v>
      </c>
      <c r="N67" s="28">
        <v>1018</v>
      </c>
      <c r="O67" s="28">
        <f t="shared" si="27"/>
        <v>814.40000000000009</v>
      </c>
      <c r="P67" s="28">
        <v>1077</v>
      </c>
      <c r="Q67" s="28">
        <f t="shared" si="28"/>
        <v>861.6</v>
      </c>
      <c r="R67" s="28">
        <v>1126</v>
      </c>
      <c r="S67" s="28">
        <f t="shared" si="29"/>
        <v>900.80000000000007</v>
      </c>
      <c r="T67" s="28">
        <v>1175</v>
      </c>
      <c r="U67" s="28">
        <f t="shared" si="30"/>
        <v>940</v>
      </c>
    </row>
    <row r="68" spans="1:21" x14ac:dyDescent="0.15">
      <c r="A68" s="32" t="s">
        <v>41</v>
      </c>
      <c r="B68" s="22">
        <v>980</v>
      </c>
      <c r="C68" s="30">
        <f t="shared" si="23"/>
        <v>784</v>
      </c>
      <c r="D68" s="22">
        <v>1030</v>
      </c>
      <c r="E68" s="30">
        <f t="shared" si="24"/>
        <v>824</v>
      </c>
      <c r="F68" s="22">
        <v>1030</v>
      </c>
      <c r="G68" s="30">
        <f t="shared" si="25"/>
        <v>824</v>
      </c>
      <c r="H68" s="30">
        <v>938</v>
      </c>
      <c r="I68" s="30">
        <f t="shared" si="26"/>
        <v>750.40000000000009</v>
      </c>
      <c r="J68" s="35">
        <v>1290</v>
      </c>
      <c r="K68" s="35">
        <f t="shared" si="31"/>
        <v>1032</v>
      </c>
      <c r="L68" s="35">
        <v>1290</v>
      </c>
      <c r="M68" s="35">
        <f>L68*0.8</f>
        <v>1032</v>
      </c>
      <c r="N68" s="28">
        <v>1118</v>
      </c>
      <c r="O68" s="28">
        <f t="shared" si="27"/>
        <v>894.40000000000009</v>
      </c>
      <c r="P68" s="28">
        <v>1180</v>
      </c>
      <c r="Q68" s="28">
        <f t="shared" si="28"/>
        <v>944</v>
      </c>
      <c r="R68" s="28">
        <v>1236</v>
      </c>
      <c r="S68" s="28">
        <f t="shared" si="29"/>
        <v>988.80000000000007</v>
      </c>
      <c r="T68" s="28">
        <v>1290</v>
      </c>
      <c r="U68" s="28">
        <f t="shared" si="30"/>
        <v>1032</v>
      </c>
    </row>
    <row r="69" spans="1:21" x14ac:dyDescent="0.15">
      <c r="A69" s="32" t="s">
        <v>42</v>
      </c>
      <c r="B69" s="22">
        <v>1125</v>
      </c>
      <c r="C69" s="30">
        <f t="shared" si="23"/>
        <v>900</v>
      </c>
      <c r="D69" s="22">
        <v>1165</v>
      </c>
      <c r="E69" s="30">
        <f t="shared" si="24"/>
        <v>932</v>
      </c>
      <c r="F69" s="22">
        <v>1165</v>
      </c>
      <c r="G69" s="30">
        <f t="shared" si="25"/>
        <v>932</v>
      </c>
      <c r="H69" s="30">
        <v>1055</v>
      </c>
      <c r="I69" s="30">
        <f t="shared" si="26"/>
        <v>844</v>
      </c>
      <c r="J69" s="35">
        <v>1362</v>
      </c>
      <c r="K69" s="35">
        <f t="shared" si="31"/>
        <v>1089.6000000000001</v>
      </c>
      <c r="L69" s="35">
        <v>1362</v>
      </c>
      <c r="M69" s="35">
        <f>L69*0.8</f>
        <v>1089.6000000000001</v>
      </c>
      <c r="N69" s="28">
        <v>1243</v>
      </c>
      <c r="O69" s="28">
        <f t="shared" si="27"/>
        <v>994.40000000000009</v>
      </c>
      <c r="P69" s="28">
        <v>1315</v>
      </c>
      <c r="Q69" s="28">
        <f t="shared" si="28"/>
        <v>1052</v>
      </c>
      <c r="R69" s="28">
        <v>1375</v>
      </c>
      <c r="S69" s="28">
        <f t="shared" si="29"/>
        <v>1100</v>
      </c>
      <c r="T69" s="28">
        <v>1435</v>
      </c>
      <c r="U69" s="28">
        <f t="shared" si="30"/>
        <v>1148</v>
      </c>
    </row>
    <row r="70" spans="1:21" x14ac:dyDescent="0.15">
      <c r="A70" s="32" t="s">
        <v>12</v>
      </c>
      <c r="B70" s="22">
        <v>1190</v>
      </c>
      <c r="C70" s="30">
        <f t="shared" si="23"/>
        <v>952</v>
      </c>
      <c r="D70" s="22">
        <v>1288</v>
      </c>
      <c r="E70" s="30">
        <f t="shared" si="24"/>
        <v>1030.4000000000001</v>
      </c>
      <c r="F70" s="22">
        <v>1288</v>
      </c>
      <c r="G70" s="30">
        <f t="shared" si="25"/>
        <v>1030.4000000000001</v>
      </c>
      <c r="H70" s="30">
        <v>1170</v>
      </c>
      <c r="I70" s="30">
        <f t="shared" si="26"/>
        <v>936</v>
      </c>
      <c r="J70" s="35">
        <v>1613</v>
      </c>
      <c r="K70" s="35">
        <f t="shared" si="31"/>
        <v>1290.4000000000001</v>
      </c>
      <c r="L70" s="35" t="s">
        <v>53</v>
      </c>
      <c r="M70" s="35" t="s">
        <v>53</v>
      </c>
      <c r="N70" s="28">
        <v>1354</v>
      </c>
      <c r="O70" s="28">
        <f t="shared" si="27"/>
        <v>1083.2</v>
      </c>
      <c r="P70" s="28">
        <v>1432</v>
      </c>
      <c r="Q70" s="28">
        <f t="shared" si="28"/>
        <v>1145.6000000000001</v>
      </c>
      <c r="R70" s="28">
        <v>1497</v>
      </c>
      <c r="S70" s="28">
        <f t="shared" si="29"/>
        <v>1197.6000000000001</v>
      </c>
      <c r="T70" s="28">
        <v>1563</v>
      </c>
      <c r="U70" s="28">
        <f t="shared" si="30"/>
        <v>1250.4000000000001</v>
      </c>
    </row>
    <row r="71" spans="1:21" hidden="1" x14ac:dyDescent="0.15">
      <c r="A71" s="6"/>
      <c r="B71" s="6"/>
      <c r="C71" s="5"/>
      <c r="D71" s="6"/>
      <c r="E71" s="5"/>
      <c r="F71" s="6"/>
      <c r="G71" s="5"/>
      <c r="H71" s="5"/>
      <c r="I71" s="5"/>
      <c r="J71" s="5"/>
      <c r="K71" s="35">
        <f t="shared" si="31"/>
        <v>0</v>
      </c>
      <c r="L71" s="5"/>
      <c r="M71" s="5"/>
      <c r="N71" s="4"/>
      <c r="O71" s="4"/>
      <c r="P71" s="4"/>
      <c r="Q71" s="4"/>
      <c r="R71" s="4"/>
      <c r="S71" s="4"/>
      <c r="T71" s="4"/>
      <c r="U71" s="4"/>
    </row>
    <row r="72" spans="1:21" hidden="1" x14ac:dyDescent="0.15">
      <c r="A72" s="2" t="s">
        <v>43</v>
      </c>
      <c r="B72" s="6">
        <v>810</v>
      </c>
      <c r="C72" s="8">
        <f>B72*0.8</f>
        <v>648</v>
      </c>
      <c r="D72" s="6">
        <v>810</v>
      </c>
      <c r="E72" s="8">
        <f>D72*0.8</f>
        <v>648</v>
      </c>
      <c r="F72" s="6">
        <v>810</v>
      </c>
      <c r="G72" s="8">
        <f>F72*0.8</f>
        <v>648</v>
      </c>
      <c r="H72" s="8"/>
      <c r="I72" s="8"/>
      <c r="J72" s="8"/>
      <c r="K72" s="35">
        <f t="shared" si="31"/>
        <v>0</v>
      </c>
      <c r="L72" s="8"/>
      <c r="M72" s="8"/>
      <c r="N72" s="8">
        <v>875</v>
      </c>
      <c r="O72" s="8">
        <f>N72*0.8</f>
        <v>700</v>
      </c>
      <c r="P72" s="8">
        <v>925</v>
      </c>
      <c r="Q72" s="8">
        <f>P72*0.8</f>
        <v>740</v>
      </c>
      <c r="R72" s="8">
        <v>963</v>
      </c>
      <c r="S72" s="8">
        <f>R72*0.8</f>
        <v>770.40000000000009</v>
      </c>
      <c r="T72" s="8">
        <v>1000</v>
      </c>
      <c r="U72" s="8">
        <f>T72*0.8</f>
        <v>800</v>
      </c>
    </row>
    <row r="73" spans="1:21" hidden="1" x14ac:dyDescent="0.15">
      <c r="A73" s="2" t="s">
        <v>44</v>
      </c>
      <c r="B73" s="6">
        <v>940</v>
      </c>
      <c r="C73" s="7">
        <v>752</v>
      </c>
      <c r="D73" s="6">
        <v>940</v>
      </c>
      <c r="E73" s="7">
        <v>752</v>
      </c>
      <c r="F73" s="6">
        <v>940</v>
      </c>
      <c r="G73" s="7">
        <v>752</v>
      </c>
      <c r="H73" s="7"/>
      <c r="I73" s="7"/>
      <c r="J73" s="7"/>
      <c r="K73" s="35">
        <f t="shared" si="31"/>
        <v>0</v>
      </c>
      <c r="L73" s="7"/>
      <c r="M73" s="7"/>
      <c r="N73" s="8">
        <v>1025</v>
      </c>
      <c r="O73" s="8">
        <f>N73*0.8</f>
        <v>820</v>
      </c>
      <c r="P73" s="8">
        <v>1063</v>
      </c>
      <c r="Q73" s="8">
        <f>P73*0.8</f>
        <v>850.40000000000009</v>
      </c>
      <c r="R73" s="8">
        <v>1075</v>
      </c>
      <c r="S73" s="8">
        <f>R73*0.8</f>
        <v>860</v>
      </c>
      <c r="T73" s="8">
        <v>1125</v>
      </c>
      <c r="U73" s="8">
        <f>T73*0.8</f>
        <v>900</v>
      </c>
    </row>
    <row r="74" spans="1:21" hidden="1" x14ac:dyDescent="0.15">
      <c r="A74" s="2" t="s">
        <v>45</v>
      </c>
      <c r="B74" s="6">
        <v>1030</v>
      </c>
      <c r="C74" s="7">
        <v>824</v>
      </c>
      <c r="D74" s="6">
        <v>1030</v>
      </c>
      <c r="E74" s="7">
        <v>824</v>
      </c>
      <c r="F74" s="6">
        <v>1030</v>
      </c>
      <c r="G74" s="7">
        <v>824</v>
      </c>
      <c r="H74" s="7"/>
      <c r="I74" s="7"/>
      <c r="J74" s="7"/>
      <c r="K74" s="35">
        <f t="shared" si="31"/>
        <v>0</v>
      </c>
      <c r="L74" s="7"/>
      <c r="M74" s="7"/>
      <c r="N74" s="8">
        <v>1150</v>
      </c>
      <c r="O74" s="8">
        <f>N74*0.8</f>
        <v>920</v>
      </c>
      <c r="P74" s="8">
        <v>1200</v>
      </c>
      <c r="Q74" s="8">
        <f>P74*0.8</f>
        <v>960</v>
      </c>
      <c r="R74" s="8">
        <v>1250</v>
      </c>
      <c r="S74" s="8">
        <f>R74*0.8</f>
        <v>1000</v>
      </c>
      <c r="T74" s="8">
        <v>1200</v>
      </c>
      <c r="U74" s="8">
        <f>T74*0.8</f>
        <v>960</v>
      </c>
    </row>
    <row r="75" spans="1:21" hidden="1" x14ac:dyDescent="0.15">
      <c r="A75" s="2" t="s">
        <v>46</v>
      </c>
      <c r="B75" s="6">
        <v>1130</v>
      </c>
      <c r="C75" s="7">
        <v>904</v>
      </c>
      <c r="D75" s="6">
        <v>1130</v>
      </c>
      <c r="E75" s="7">
        <v>904</v>
      </c>
      <c r="F75" s="6">
        <v>1130</v>
      </c>
      <c r="G75" s="7">
        <v>904</v>
      </c>
      <c r="H75" s="7"/>
      <c r="I75" s="7"/>
      <c r="J75" s="7"/>
      <c r="K75" s="35">
        <f t="shared" si="31"/>
        <v>0</v>
      </c>
      <c r="L75" s="7"/>
      <c r="M75" s="7"/>
      <c r="N75" s="8">
        <v>1275</v>
      </c>
      <c r="O75" s="8">
        <f>N75*0.8</f>
        <v>1020</v>
      </c>
      <c r="P75" s="8">
        <v>1338</v>
      </c>
      <c r="Q75" s="8">
        <f>P75*0.8</f>
        <v>1070.4000000000001</v>
      </c>
      <c r="R75" s="8">
        <v>1388</v>
      </c>
      <c r="S75" s="8">
        <f>R75*0.8</f>
        <v>1110.4000000000001</v>
      </c>
      <c r="T75" s="8">
        <v>1438</v>
      </c>
      <c r="U75" s="8">
        <f>T75*0.8</f>
        <v>1150.4000000000001</v>
      </c>
    </row>
    <row r="77" spans="1:21" x14ac:dyDescent="0.15">
      <c r="A77" s="16" t="s">
        <v>56</v>
      </c>
    </row>
    <row r="78" spans="1:21" x14ac:dyDescent="0.15">
      <c r="A78" s="16" t="s">
        <v>75</v>
      </c>
    </row>
    <row r="79" spans="1:21" x14ac:dyDescent="0.15">
      <c r="A79" s="57" t="s">
        <v>108</v>
      </c>
    </row>
    <row r="80" spans="1:21" x14ac:dyDescent="0.15">
      <c r="A80" s="57" t="s">
        <v>114</v>
      </c>
    </row>
  </sheetData>
  <mergeCells count="133">
    <mergeCell ref="R62:S62"/>
    <mergeCell ref="T62:U62"/>
    <mergeCell ref="R63:S63"/>
    <mergeCell ref="T63:U63"/>
    <mergeCell ref="B63:C63"/>
    <mergeCell ref="D63:E63"/>
    <mergeCell ref="F63:G63"/>
    <mergeCell ref="H63:I63"/>
    <mergeCell ref="J63:K63"/>
    <mergeCell ref="P63:Q63"/>
    <mergeCell ref="P61:Q61"/>
    <mergeCell ref="R61:S61"/>
    <mergeCell ref="T61:U61"/>
    <mergeCell ref="B62:C62"/>
    <mergeCell ref="D62:E62"/>
    <mergeCell ref="F62:G62"/>
    <mergeCell ref="H62:I62"/>
    <mergeCell ref="J62:K62"/>
    <mergeCell ref="L62:M62"/>
    <mergeCell ref="P62:Q62"/>
    <mergeCell ref="P60:Q60"/>
    <mergeCell ref="R60:S60"/>
    <mergeCell ref="T60:U60"/>
    <mergeCell ref="B61:C61"/>
    <mergeCell ref="D61:E61"/>
    <mergeCell ref="F61:G61"/>
    <mergeCell ref="H61:I61"/>
    <mergeCell ref="J61:K61"/>
    <mergeCell ref="L61:M61"/>
    <mergeCell ref="N61:O61"/>
    <mergeCell ref="B60:C60"/>
    <mergeCell ref="D60:E60"/>
    <mergeCell ref="F60:G60"/>
    <mergeCell ref="H60:I60"/>
    <mergeCell ref="J60:K60"/>
    <mergeCell ref="L60:M60"/>
    <mergeCell ref="B59:C59"/>
    <mergeCell ref="D59:E59"/>
    <mergeCell ref="F59:G59"/>
    <mergeCell ref="H59:I59"/>
    <mergeCell ref="R59:S59"/>
    <mergeCell ref="T59:U59"/>
    <mergeCell ref="J59:K59"/>
    <mergeCell ref="P59:Q59"/>
    <mergeCell ref="R56:S56"/>
    <mergeCell ref="T56:U56"/>
    <mergeCell ref="B58:C58"/>
    <mergeCell ref="D58:E58"/>
    <mergeCell ref="F58:G58"/>
    <mergeCell ref="H58:I58"/>
    <mergeCell ref="J58:K58"/>
    <mergeCell ref="P58:Q58"/>
    <mergeCell ref="R58:S58"/>
    <mergeCell ref="T58:U58"/>
    <mergeCell ref="R10:S10"/>
    <mergeCell ref="T10:U10"/>
    <mergeCell ref="B55:I55"/>
    <mergeCell ref="J55:U55"/>
    <mergeCell ref="B56:C56"/>
    <mergeCell ref="D56:E56"/>
    <mergeCell ref="F56:G56"/>
    <mergeCell ref="H56:I56"/>
    <mergeCell ref="J56:K56"/>
    <mergeCell ref="P56:Q56"/>
    <mergeCell ref="B8:C8"/>
    <mergeCell ref="T9:U9"/>
    <mergeCell ref="B10:C10"/>
    <mergeCell ref="D10:E10"/>
    <mergeCell ref="F10:G10"/>
    <mergeCell ref="H10:I10"/>
    <mergeCell ref="J10:K10"/>
    <mergeCell ref="L10:M10"/>
    <mergeCell ref="N10:O10"/>
    <mergeCell ref="P10:Q10"/>
    <mergeCell ref="L7:M7"/>
    <mergeCell ref="T8:U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7:U7"/>
    <mergeCell ref="N8:O8"/>
    <mergeCell ref="P8:Q8"/>
    <mergeCell ref="D8:E8"/>
    <mergeCell ref="F8:G8"/>
    <mergeCell ref="H8:I8"/>
    <mergeCell ref="J8:K8"/>
    <mergeCell ref="L8:M8"/>
    <mergeCell ref="J7:K7"/>
    <mergeCell ref="B6:C6"/>
    <mergeCell ref="D6:E6"/>
    <mergeCell ref="F6:G6"/>
    <mergeCell ref="H6:I6"/>
    <mergeCell ref="R8:S8"/>
    <mergeCell ref="T6:U6"/>
    <mergeCell ref="B7:C7"/>
    <mergeCell ref="D7:E7"/>
    <mergeCell ref="F7:G7"/>
    <mergeCell ref="H7:I7"/>
    <mergeCell ref="P6:Q6"/>
    <mergeCell ref="P5:Q5"/>
    <mergeCell ref="N5:O5"/>
    <mergeCell ref="T3:U3"/>
    <mergeCell ref="R7:S7"/>
    <mergeCell ref="R5:S5"/>
    <mergeCell ref="T5:U5"/>
    <mergeCell ref="N7:O7"/>
    <mergeCell ref="P7:Q7"/>
    <mergeCell ref="F3:G3"/>
    <mergeCell ref="H3:I3"/>
    <mergeCell ref="N3:O3"/>
    <mergeCell ref="F5:G5"/>
    <mergeCell ref="H5:I5"/>
    <mergeCell ref="R6:S6"/>
    <mergeCell ref="P3:Q3"/>
    <mergeCell ref="R3:S3"/>
    <mergeCell ref="J6:K6"/>
    <mergeCell ref="N6:O6"/>
    <mergeCell ref="B5:C5"/>
    <mergeCell ref="D5:E5"/>
    <mergeCell ref="J3:K3"/>
    <mergeCell ref="L3:M3"/>
    <mergeCell ref="J5:K5"/>
    <mergeCell ref="A1:U1"/>
    <mergeCell ref="B2:I2"/>
    <mergeCell ref="J2:U2"/>
    <mergeCell ref="B3:C3"/>
    <mergeCell ref="D3:E3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topLeftCell="A16" workbookViewId="0">
      <selection activeCell="J47" sqref="J47"/>
    </sheetView>
  </sheetViews>
  <sheetFormatPr defaultColWidth="9" defaultRowHeight="14.25" x14ac:dyDescent="0.15"/>
  <cols>
    <col min="1" max="1" width="22.875" customWidth="1"/>
    <col min="2" max="7" width="5.75" customWidth="1"/>
    <col min="8" max="8" width="7" customWidth="1"/>
    <col min="9" max="9" width="6.625" customWidth="1"/>
    <col min="10" max="10" width="6.375" customWidth="1"/>
    <col min="11" max="11" width="6.125" customWidth="1"/>
    <col min="12" max="12" width="7.75" customWidth="1"/>
    <col min="13" max="13" width="6.875" customWidth="1"/>
    <col min="14" max="14" width="6.625" customWidth="1"/>
    <col min="15" max="15" width="5.5" customWidth="1"/>
    <col min="16" max="16" width="7.375" customWidth="1"/>
    <col min="17" max="17" width="5.5" customWidth="1"/>
    <col min="18" max="18" width="7.5" customWidth="1"/>
    <col min="19" max="19" width="5.5" customWidth="1"/>
    <col min="20" max="20" width="8" customWidth="1"/>
    <col min="21" max="21" width="7.375" customWidth="1"/>
  </cols>
  <sheetData>
    <row r="1" spans="1:21" ht="24.75" customHeight="1" x14ac:dyDescent="0.15">
      <c r="A1" s="132" t="s">
        <v>86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1" ht="14.1" customHeight="1" x14ac:dyDescent="0.15">
      <c r="A2" s="24" t="s">
        <v>68</v>
      </c>
      <c r="B2" s="139" t="s">
        <v>66</v>
      </c>
      <c r="C2" s="140"/>
      <c r="D2" s="140"/>
      <c r="E2" s="140"/>
      <c r="F2" s="140"/>
      <c r="G2" s="140"/>
      <c r="H2" s="140"/>
      <c r="I2" s="141"/>
      <c r="J2" s="135" t="s">
        <v>67</v>
      </c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6"/>
    </row>
    <row r="3" spans="1:21" ht="14.1" customHeight="1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28">
        <v>0.8</v>
      </c>
      <c r="I3" s="129"/>
      <c r="J3" s="130">
        <v>0.8</v>
      </c>
      <c r="K3" s="131"/>
      <c r="L3" s="130">
        <v>0.8</v>
      </c>
      <c r="M3" s="131"/>
      <c r="N3" s="130">
        <v>0.8</v>
      </c>
      <c r="O3" s="131"/>
      <c r="P3" s="130">
        <v>0.8</v>
      </c>
      <c r="Q3" s="131"/>
      <c r="R3" s="130">
        <v>0.8</v>
      </c>
      <c r="S3" s="131"/>
      <c r="T3" s="130">
        <v>0.8</v>
      </c>
      <c r="U3" s="131"/>
    </row>
    <row r="4" spans="1:21" ht="14.1" customHeight="1" x14ac:dyDescent="0.15">
      <c r="A4" s="24" t="s">
        <v>59</v>
      </c>
      <c r="B4" s="17"/>
      <c r="C4" s="18"/>
      <c r="D4" s="17"/>
      <c r="E4" s="18"/>
      <c r="F4" s="17"/>
      <c r="G4" s="18"/>
      <c r="H4" s="53"/>
      <c r="I4" s="53"/>
      <c r="J4" s="20"/>
      <c r="K4" s="21"/>
      <c r="L4" s="20"/>
      <c r="M4" s="21"/>
      <c r="N4" s="20"/>
      <c r="O4" s="21"/>
      <c r="P4" s="20"/>
      <c r="Q4" s="21"/>
      <c r="R4" s="20"/>
      <c r="S4" s="21"/>
      <c r="T4" s="20"/>
      <c r="U4" s="21"/>
    </row>
    <row r="5" spans="1:21" ht="14.1" customHeight="1" x14ac:dyDescent="0.15">
      <c r="A5" s="24" t="s">
        <v>104</v>
      </c>
      <c r="B5" s="128">
        <v>380</v>
      </c>
      <c r="C5" s="129"/>
      <c r="D5" s="137">
        <v>400</v>
      </c>
      <c r="E5" s="137"/>
      <c r="F5" s="128">
        <v>415</v>
      </c>
      <c r="G5" s="129"/>
      <c r="H5" s="128">
        <v>440</v>
      </c>
      <c r="I5" s="129"/>
      <c r="J5" s="130" t="s">
        <v>48</v>
      </c>
      <c r="K5" s="131"/>
      <c r="L5" s="20"/>
      <c r="M5" s="21"/>
      <c r="N5" s="126">
        <v>416</v>
      </c>
      <c r="O5" s="127"/>
      <c r="P5" s="130">
        <v>440</v>
      </c>
      <c r="Q5" s="131"/>
      <c r="R5" s="130">
        <v>460</v>
      </c>
      <c r="S5" s="131"/>
      <c r="T5" s="130">
        <v>480</v>
      </c>
      <c r="U5" s="131"/>
    </row>
    <row r="6" spans="1:21" ht="14.1" customHeight="1" x14ac:dyDescent="0.15">
      <c r="A6" s="24" t="s">
        <v>105</v>
      </c>
      <c r="B6" s="128">
        <v>220</v>
      </c>
      <c r="C6" s="129"/>
      <c r="D6" s="128">
        <v>230</v>
      </c>
      <c r="E6" s="129"/>
      <c r="F6" s="128">
        <v>240</v>
      </c>
      <c r="G6" s="129"/>
      <c r="H6" s="128">
        <v>254</v>
      </c>
      <c r="I6" s="129"/>
      <c r="J6" s="130" t="s">
        <v>50</v>
      </c>
      <c r="K6" s="131"/>
      <c r="L6" s="20"/>
      <c r="M6" s="21"/>
      <c r="N6" s="126">
        <v>240</v>
      </c>
      <c r="O6" s="127"/>
      <c r="P6" s="126">
        <v>254</v>
      </c>
      <c r="Q6" s="127"/>
      <c r="R6" s="126">
        <v>266</v>
      </c>
      <c r="S6" s="127"/>
      <c r="T6" s="126">
        <v>277</v>
      </c>
      <c r="U6" s="127"/>
    </row>
    <row r="7" spans="1:21" ht="14.1" customHeight="1" x14ac:dyDescent="0.15">
      <c r="A7" s="24" t="s">
        <v>106</v>
      </c>
      <c r="B7" s="128">
        <v>380</v>
      </c>
      <c r="C7" s="129"/>
      <c r="D7" s="137">
        <v>400</v>
      </c>
      <c r="E7" s="137"/>
      <c r="F7" s="128">
        <v>415</v>
      </c>
      <c r="G7" s="129"/>
      <c r="H7" s="128">
        <v>440</v>
      </c>
      <c r="I7" s="129"/>
      <c r="J7" s="135" t="s">
        <v>53</v>
      </c>
      <c r="K7" s="136"/>
      <c r="L7" s="130" t="s">
        <v>48</v>
      </c>
      <c r="M7" s="131"/>
      <c r="N7" s="126">
        <v>416</v>
      </c>
      <c r="O7" s="127"/>
      <c r="P7" s="130">
        <v>440</v>
      </c>
      <c r="Q7" s="131"/>
      <c r="R7" s="130">
        <v>460</v>
      </c>
      <c r="S7" s="131"/>
      <c r="T7" s="130">
        <v>480</v>
      </c>
      <c r="U7" s="131"/>
    </row>
    <row r="8" spans="1:21" ht="14.1" customHeight="1" x14ac:dyDescent="0.15">
      <c r="A8" s="24" t="s">
        <v>107</v>
      </c>
      <c r="B8" s="128">
        <v>190</v>
      </c>
      <c r="C8" s="129"/>
      <c r="D8" s="128">
        <v>200</v>
      </c>
      <c r="E8" s="129"/>
      <c r="F8" s="128">
        <v>208</v>
      </c>
      <c r="G8" s="129"/>
      <c r="H8" s="128">
        <v>220</v>
      </c>
      <c r="I8" s="129"/>
      <c r="J8" s="130" t="s">
        <v>53</v>
      </c>
      <c r="K8" s="131"/>
      <c r="L8" s="130" t="s">
        <v>49</v>
      </c>
      <c r="M8" s="131"/>
      <c r="N8" s="126">
        <v>208</v>
      </c>
      <c r="O8" s="127"/>
      <c r="P8" s="126">
        <v>220</v>
      </c>
      <c r="Q8" s="127"/>
      <c r="R8" s="126">
        <v>230</v>
      </c>
      <c r="S8" s="127"/>
      <c r="T8" s="126">
        <v>240</v>
      </c>
      <c r="U8" s="127"/>
    </row>
    <row r="9" spans="1:21" ht="14.1" customHeight="1" x14ac:dyDescent="0.15">
      <c r="A9" s="25" t="s">
        <v>62</v>
      </c>
      <c r="B9" s="128">
        <v>220</v>
      </c>
      <c r="C9" s="129"/>
      <c r="D9" s="128">
        <v>230</v>
      </c>
      <c r="E9" s="129"/>
      <c r="F9" s="128">
        <v>240</v>
      </c>
      <c r="G9" s="129"/>
      <c r="H9" s="128">
        <v>254</v>
      </c>
      <c r="I9" s="129"/>
      <c r="J9" s="135" t="s">
        <v>53</v>
      </c>
      <c r="K9" s="136"/>
      <c r="L9" s="130" t="s">
        <v>50</v>
      </c>
      <c r="M9" s="131"/>
      <c r="N9" s="126">
        <v>240</v>
      </c>
      <c r="O9" s="127"/>
      <c r="P9" s="126">
        <v>254</v>
      </c>
      <c r="Q9" s="127"/>
      <c r="R9" s="126">
        <v>266</v>
      </c>
      <c r="S9" s="127"/>
      <c r="T9" s="126">
        <v>277</v>
      </c>
      <c r="U9" s="127"/>
    </row>
    <row r="10" spans="1:21" ht="14.1" customHeight="1" x14ac:dyDescent="0.15">
      <c r="A10" s="25" t="s">
        <v>63</v>
      </c>
      <c r="B10" s="128">
        <v>11</v>
      </c>
      <c r="C10" s="129"/>
      <c r="D10" s="128">
        <v>11</v>
      </c>
      <c r="E10" s="129"/>
      <c r="F10" s="128">
        <v>11</v>
      </c>
      <c r="G10" s="129"/>
      <c r="H10" s="128">
        <v>11</v>
      </c>
      <c r="I10" s="129"/>
      <c r="J10" s="130">
        <v>13</v>
      </c>
      <c r="K10" s="131"/>
      <c r="L10" s="130">
        <v>14</v>
      </c>
      <c r="M10" s="131"/>
      <c r="N10" s="126">
        <v>11</v>
      </c>
      <c r="O10" s="127"/>
      <c r="P10" s="126">
        <v>11</v>
      </c>
      <c r="Q10" s="127"/>
      <c r="R10" s="126">
        <v>11</v>
      </c>
      <c r="S10" s="127"/>
      <c r="T10" s="126">
        <v>11</v>
      </c>
      <c r="U10" s="127"/>
    </row>
    <row r="11" spans="1:21" ht="14.1" customHeight="1" x14ac:dyDescent="0.15">
      <c r="A11" s="36" t="s">
        <v>64</v>
      </c>
      <c r="B11" s="19" t="s">
        <v>0</v>
      </c>
      <c r="C11" s="19" t="s">
        <v>1</v>
      </c>
      <c r="D11" s="19" t="s">
        <v>0</v>
      </c>
      <c r="E11" s="19" t="s">
        <v>1</v>
      </c>
      <c r="F11" s="19" t="s">
        <v>0</v>
      </c>
      <c r="G11" s="19" t="s">
        <v>1</v>
      </c>
      <c r="H11" s="19" t="s">
        <v>0</v>
      </c>
      <c r="I11" s="19" t="s">
        <v>1</v>
      </c>
      <c r="J11" s="22" t="s">
        <v>51</v>
      </c>
      <c r="K11" s="23" t="s">
        <v>52</v>
      </c>
      <c r="L11" s="22" t="s">
        <v>51</v>
      </c>
      <c r="M11" s="23" t="s">
        <v>52</v>
      </c>
      <c r="N11" s="23" t="s">
        <v>0</v>
      </c>
      <c r="O11" s="23" t="s">
        <v>1</v>
      </c>
      <c r="P11" s="23" t="s">
        <v>0</v>
      </c>
      <c r="Q11" s="23" t="s">
        <v>1</v>
      </c>
      <c r="R11" s="23" t="s">
        <v>0</v>
      </c>
      <c r="S11" s="23" t="s">
        <v>1</v>
      </c>
      <c r="T11" s="23" t="s">
        <v>0</v>
      </c>
      <c r="U11" s="23" t="s">
        <v>1</v>
      </c>
    </row>
    <row r="12" spans="1:21" ht="13.5" customHeight="1" x14ac:dyDescent="0.15">
      <c r="A12" s="31" t="s">
        <v>2</v>
      </c>
      <c r="B12" s="55" t="s">
        <v>53</v>
      </c>
      <c r="C12" s="55" t="s">
        <v>53</v>
      </c>
      <c r="D12" s="55" t="s">
        <v>53</v>
      </c>
      <c r="E12" s="55" t="s">
        <v>53</v>
      </c>
      <c r="F12" s="55" t="s">
        <v>53</v>
      </c>
      <c r="G12" s="55" t="s">
        <v>53</v>
      </c>
      <c r="H12" s="55" t="s">
        <v>53</v>
      </c>
      <c r="I12" s="55" t="s">
        <v>53</v>
      </c>
      <c r="J12" s="34" t="s">
        <v>53</v>
      </c>
      <c r="K12" s="34" t="s">
        <v>53</v>
      </c>
      <c r="L12" s="34" t="s">
        <v>53</v>
      </c>
      <c r="M12" s="34" t="s">
        <v>53</v>
      </c>
      <c r="N12" s="27" t="s">
        <v>53</v>
      </c>
      <c r="O12" s="27" t="s">
        <v>53</v>
      </c>
      <c r="P12" s="27" t="s">
        <v>53</v>
      </c>
      <c r="Q12" s="27" t="s">
        <v>53</v>
      </c>
      <c r="R12" s="27" t="s">
        <v>53</v>
      </c>
      <c r="S12" s="27" t="s">
        <v>53</v>
      </c>
      <c r="T12" s="27" t="s">
        <v>53</v>
      </c>
      <c r="U12" s="27" t="s">
        <v>53</v>
      </c>
    </row>
    <row r="13" spans="1:21" ht="13.5" customHeight="1" x14ac:dyDescent="0.15">
      <c r="A13" s="31" t="s">
        <v>3</v>
      </c>
      <c r="B13" s="55" t="s">
        <v>53</v>
      </c>
      <c r="C13" s="55" t="s">
        <v>53</v>
      </c>
      <c r="D13" s="55" t="s">
        <v>53</v>
      </c>
      <c r="E13" s="55" t="s">
        <v>53</v>
      </c>
      <c r="F13" s="55" t="s">
        <v>53</v>
      </c>
      <c r="G13" s="55" t="s">
        <v>53</v>
      </c>
      <c r="H13" s="55" t="s">
        <v>53</v>
      </c>
      <c r="I13" s="55" t="s">
        <v>53</v>
      </c>
      <c r="J13" s="34" t="s">
        <v>53</v>
      </c>
      <c r="K13" s="34" t="s">
        <v>53</v>
      </c>
      <c r="L13" s="34" t="s">
        <v>53</v>
      </c>
      <c r="M13" s="34" t="s">
        <v>53</v>
      </c>
      <c r="N13" s="27" t="s">
        <v>53</v>
      </c>
      <c r="O13" s="27" t="s">
        <v>53</v>
      </c>
      <c r="P13" s="27" t="s">
        <v>53</v>
      </c>
      <c r="Q13" s="27" t="s">
        <v>53</v>
      </c>
      <c r="R13" s="27" t="s">
        <v>53</v>
      </c>
      <c r="S13" s="27" t="s">
        <v>53</v>
      </c>
      <c r="T13" s="27" t="s">
        <v>53</v>
      </c>
      <c r="U13" s="27" t="s">
        <v>53</v>
      </c>
    </row>
    <row r="14" spans="1:21" ht="13.5" customHeight="1" x14ac:dyDescent="0.15">
      <c r="A14" s="31" t="s">
        <v>4</v>
      </c>
      <c r="B14" s="55" t="s">
        <v>53</v>
      </c>
      <c r="C14" s="55" t="s">
        <v>53</v>
      </c>
      <c r="D14" s="55" t="s">
        <v>53</v>
      </c>
      <c r="E14" s="55" t="s">
        <v>53</v>
      </c>
      <c r="F14" s="55" t="s">
        <v>53</v>
      </c>
      <c r="G14" s="55" t="s">
        <v>53</v>
      </c>
      <c r="H14" s="55" t="s">
        <v>53</v>
      </c>
      <c r="I14" s="55" t="s">
        <v>53</v>
      </c>
      <c r="J14" s="34" t="s">
        <v>53</v>
      </c>
      <c r="K14" s="34" t="s">
        <v>53</v>
      </c>
      <c r="L14" s="34" t="s">
        <v>53</v>
      </c>
      <c r="M14" s="34" t="s">
        <v>53</v>
      </c>
      <c r="N14" s="27" t="s">
        <v>53</v>
      </c>
      <c r="O14" s="27" t="s">
        <v>53</v>
      </c>
      <c r="P14" s="27" t="s">
        <v>53</v>
      </c>
      <c r="Q14" s="27" t="s">
        <v>53</v>
      </c>
      <c r="R14" s="27" t="s">
        <v>53</v>
      </c>
      <c r="S14" s="27" t="s">
        <v>53</v>
      </c>
      <c r="T14" s="27" t="s">
        <v>53</v>
      </c>
      <c r="U14" s="27" t="s">
        <v>53</v>
      </c>
    </row>
    <row r="15" spans="1:21" ht="13.5" customHeight="1" x14ac:dyDescent="0.15">
      <c r="A15" s="31" t="s">
        <v>5</v>
      </c>
      <c r="B15" s="55" t="s">
        <v>53</v>
      </c>
      <c r="C15" s="55" t="s">
        <v>53</v>
      </c>
      <c r="D15" s="55" t="s">
        <v>53</v>
      </c>
      <c r="E15" s="55" t="s">
        <v>53</v>
      </c>
      <c r="F15" s="55" t="s">
        <v>53</v>
      </c>
      <c r="G15" s="55" t="s">
        <v>53</v>
      </c>
      <c r="H15" s="55" t="s">
        <v>53</v>
      </c>
      <c r="I15" s="55" t="s">
        <v>53</v>
      </c>
      <c r="J15" s="34" t="s">
        <v>53</v>
      </c>
      <c r="K15" s="34" t="s">
        <v>53</v>
      </c>
      <c r="L15" s="34" t="s">
        <v>53</v>
      </c>
      <c r="M15" s="34" t="s">
        <v>53</v>
      </c>
      <c r="N15" s="27" t="s">
        <v>53</v>
      </c>
      <c r="O15" s="27" t="s">
        <v>53</v>
      </c>
      <c r="P15" s="27" t="s">
        <v>53</v>
      </c>
      <c r="Q15" s="27" t="s">
        <v>53</v>
      </c>
      <c r="R15" s="27" t="s">
        <v>53</v>
      </c>
      <c r="S15" s="27" t="s">
        <v>53</v>
      </c>
      <c r="T15" s="27" t="s">
        <v>53</v>
      </c>
      <c r="U15" s="27" t="s">
        <v>53</v>
      </c>
    </row>
    <row r="16" spans="1:21" ht="13.5" customHeight="1" x14ac:dyDescent="0.15">
      <c r="A16" s="31"/>
      <c r="B16" s="29"/>
      <c r="C16" s="29"/>
      <c r="D16" s="29"/>
      <c r="E16" s="29"/>
      <c r="F16" s="29"/>
      <c r="G16" s="29"/>
      <c r="H16" s="29"/>
      <c r="I16" s="29"/>
      <c r="J16" s="34"/>
      <c r="K16" s="34"/>
      <c r="L16" s="34"/>
      <c r="M16" s="34"/>
      <c r="N16" s="27"/>
      <c r="O16" s="27"/>
      <c r="P16" s="27"/>
      <c r="Q16" s="27"/>
      <c r="R16" s="27"/>
      <c r="S16" s="27"/>
      <c r="T16" s="27"/>
      <c r="U16" s="27"/>
    </row>
    <row r="17" spans="1:21" ht="13.5" customHeight="1" x14ac:dyDescent="0.15">
      <c r="A17" s="31" t="s">
        <v>6</v>
      </c>
      <c r="B17" s="55" t="s">
        <v>53</v>
      </c>
      <c r="C17" s="55" t="s">
        <v>53</v>
      </c>
      <c r="D17" s="55" t="s">
        <v>53</v>
      </c>
      <c r="E17" s="55" t="s">
        <v>53</v>
      </c>
      <c r="F17" s="55" t="s">
        <v>53</v>
      </c>
      <c r="G17" s="55" t="s">
        <v>53</v>
      </c>
      <c r="H17" s="55" t="s">
        <v>53</v>
      </c>
      <c r="I17" s="55" t="s">
        <v>53</v>
      </c>
      <c r="J17" s="34" t="s">
        <v>53</v>
      </c>
      <c r="K17" s="34" t="s">
        <v>53</v>
      </c>
      <c r="L17" s="34" t="s">
        <v>53</v>
      </c>
      <c r="M17" s="34" t="s">
        <v>53</v>
      </c>
      <c r="N17" s="27" t="s">
        <v>53</v>
      </c>
      <c r="O17" s="27" t="s">
        <v>53</v>
      </c>
      <c r="P17" s="27" t="s">
        <v>53</v>
      </c>
      <c r="Q17" s="27" t="s">
        <v>53</v>
      </c>
      <c r="R17" s="27" t="s">
        <v>53</v>
      </c>
      <c r="S17" s="27" t="s">
        <v>53</v>
      </c>
      <c r="T17" s="27" t="s">
        <v>53</v>
      </c>
      <c r="U17" s="27" t="s">
        <v>53</v>
      </c>
    </row>
    <row r="18" spans="1:21" ht="13.5" customHeight="1" x14ac:dyDescent="0.15">
      <c r="A18" s="31" t="s">
        <v>7</v>
      </c>
      <c r="B18" s="55" t="s">
        <v>53</v>
      </c>
      <c r="C18" s="55" t="s">
        <v>53</v>
      </c>
      <c r="D18" s="55" t="s">
        <v>53</v>
      </c>
      <c r="E18" s="55" t="s">
        <v>53</v>
      </c>
      <c r="F18" s="55" t="s">
        <v>53</v>
      </c>
      <c r="G18" s="55" t="s">
        <v>53</v>
      </c>
      <c r="H18" s="55" t="s">
        <v>53</v>
      </c>
      <c r="I18" s="55" t="s">
        <v>53</v>
      </c>
      <c r="J18" s="34" t="s">
        <v>53</v>
      </c>
      <c r="K18" s="34" t="s">
        <v>53</v>
      </c>
      <c r="L18" s="34" t="s">
        <v>53</v>
      </c>
      <c r="M18" s="34" t="s">
        <v>53</v>
      </c>
      <c r="N18" s="27" t="s">
        <v>53</v>
      </c>
      <c r="O18" s="27" t="s">
        <v>53</v>
      </c>
      <c r="P18" s="27" t="s">
        <v>53</v>
      </c>
      <c r="Q18" s="27" t="s">
        <v>53</v>
      </c>
      <c r="R18" s="27" t="s">
        <v>53</v>
      </c>
      <c r="S18" s="27" t="s">
        <v>53</v>
      </c>
      <c r="T18" s="27" t="s">
        <v>53</v>
      </c>
      <c r="U18" s="27" t="s">
        <v>53</v>
      </c>
    </row>
    <row r="19" spans="1:21" ht="13.5" customHeight="1" x14ac:dyDescent="0.15">
      <c r="A19" s="31" t="s">
        <v>8</v>
      </c>
      <c r="B19" s="29">
        <v>30</v>
      </c>
      <c r="C19" s="29">
        <f>B19*0.8</f>
        <v>24</v>
      </c>
      <c r="D19" s="29">
        <v>30</v>
      </c>
      <c r="E19" s="29">
        <f>D19*0.8</f>
        <v>24</v>
      </c>
      <c r="F19" s="29">
        <v>30</v>
      </c>
      <c r="G19" s="29">
        <f>F19*0.8</f>
        <v>24</v>
      </c>
      <c r="H19" s="29">
        <v>24.5</v>
      </c>
      <c r="I19" s="29">
        <f t="shared" ref="I19:I53" si="0">H19*0.8</f>
        <v>19.600000000000001</v>
      </c>
      <c r="J19" s="34" t="s">
        <v>53</v>
      </c>
      <c r="K19" s="34" t="s">
        <v>53</v>
      </c>
      <c r="L19" s="34" t="s">
        <v>53</v>
      </c>
      <c r="M19" s="34" t="s">
        <v>53</v>
      </c>
      <c r="N19" s="27">
        <v>34.4</v>
      </c>
      <c r="O19" s="27">
        <f>N19*0.8</f>
        <v>27.52</v>
      </c>
      <c r="P19" s="27">
        <v>35.6</v>
      </c>
      <c r="Q19" s="27">
        <f>P19*0.8</f>
        <v>28.480000000000004</v>
      </c>
      <c r="R19" s="27">
        <v>35.6</v>
      </c>
      <c r="S19" s="27">
        <f>R19*0.8</f>
        <v>28.480000000000004</v>
      </c>
      <c r="T19" s="27">
        <v>38.799999999999997</v>
      </c>
      <c r="U19" s="27">
        <f>T19*0.8</f>
        <v>31.04</v>
      </c>
    </row>
    <row r="20" spans="1:21" ht="13.5" customHeight="1" x14ac:dyDescent="0.15">
      <c r="A20" s="31" t="s">
        <v>9</v>
      </c>
      <c r="B20" s="29">
        <v>33</v>
      </c>
      <c r="C20" s="29">
        <f>B20*0.8</f>
        <v>26.400000000000002</v>
      </c>
      <c r="D20" s="29">
        <v>33</v>
      </c>
      <c r="E20" s="29">
        <f>D20*0.8</f>
        <v>26.400000000000002</v>
      </c>
      <c r="F20" s="29">
        <v>33</v>
      </c>
      <c r="G20" s="29">
        <v>25</v>
      </c>
      <c r="H20" s="29">
        <v>29</v>
      </c>
      <c r="I20" s="29">
        <f t="shared" si="0"/>
        <v>23.200000000000003</v>
      </c>
      <c r="J20" s="34" t="s">
        <v>53</v>
      </c>
      <c r="K20" s="34" t="s">
        <v>53</v>
      </c>
      <c r="L20" s="34" t="s">
        <v>53</v>
      </c>
      <c r="M20" s="34" t="s">
        <v>53</v>
      </c>
      <c r="N20" s="27">
        <v>36.9</v>
      </c>
      <c r="O20" s="27">
        <f>N20*0.8</f>
        <v>29.52</v>
      </c>
      <c r="P20" s="27">
        <v>40</v>
      </c>
      <c r="Q20" s="27">
        <f>P20*0.8</f>
        <v>32</v>
      </c>
      <c r="R20" s="27">
        <v>40</v>
      </c>
      <c r="S20" s="27">
        <f>R20*0.8</f>
        <v>32</v>
      </c>
      <c r="T20" s="27">
        <v>40</v>
      </c>
      <c r="U20" s="27">
        <f>T20*0.8</f>
        <v>32</v>
      </c>
    </row>
    <row r="21" spans="1:21" ht="13.5" customHeight="1" x14ac:dyDescent="0.15">
      <c r="A21" s="31" t="s">
        <v>10</v>
      </c>
      <c r="B21" s="29">
        <v>40</v>
      </c>
      <c r="C21" s="29">
        <f>B21*0.8</f>
        <v>32</v>
      </c>
      <c r="D21" s="29">
        <v>40</v>
      </c>
      <c r="E21" s="29">
        <f>D21*0.8</f>
        <v>32</v>
      </c>
      <c r="F21" s="29">
        <v>40</v>
      </c>
      <c r="G21" s="29">
        <f>F21*0.8</f>
        <v>32</v>
      </c>
      <c r="H21" s="29">
        <v>34.700000000000003</v>
      </c>
      <c r="I21" s="29">
        <f t="shared" si="0"/>
        <v>27.760000000000005</v>
      </c>
      <c r="J21" s="34" t="s">
        <v>53</v>
      </c>
      <c r="K21" s="34" t="s">
        <v>53</v>
      </c>
      <c r="L21" s="34" t="s">
        <v>53</v>
      </c>
      <c r="M21" s="34" t="s">
        <v>53</v>
      </c>
      <c r="N21" s="27">
        <v>47.3</v>
      </c>
      <c r="O21" s="27">
        <f>N21*0.8</f>
        <v>37.839999999999996</v>
      </c>
      <c r="P21" s="27">
        <v>50</v>
      </c>
      <c r="Q21" s="27">
        <f>P21*0.8</f>
        <v>40</v>
      </c>
      <c r="R21" s="27">
        <v>50</v>
      </c>
      <c r="S21" s="27">
        <f>R21*0.8</f>
        <v>40</v>
      </c>
      <c r="T21" s="27">
        <v>50</v>
      </c>
      <c r="U21" s="27">
        <f>T21*0.8</f>
        <v>40</v>
      </c>
    </row>
    <row r="22" spans="1:21" ht="13.5" customHeight="1" x14ac:dyDescent="0.15">
      <c r="A22" s="31" t="s">
        <v>11</v>
      </c>
      <c r="B22" s="29">
        <v>42.5</v>
      </c>
      <c r="C22" s="29">
        <f>B22*0.8</f>
        <v>34</v>
      </c>
      <c r="D22" s="29">
        <v>42.5</v>
      </c>
      <c r="E22" s="29">
        <f>D22*0.8</f>
        <v>34</v>
      </c>
      <c r="F22" s="29">
        <v>42.5</v>
      </c>
      <c r="G22" s="29">
        <f>F22*0.8</f>
        <v>34</v>
      </c>
      <c r="H22" s="29">
        <v>37.200000000000003</v>
      </c>
      <c r="I22" s="29">
        <f t="shared" si="0"/>
        <v>29.760000000000005</v>
      </c>
      <c r="J22" s="34" t="s">
        <v>53</v>
      </c>
      <c r="K22" s="34" t="s">
        <v>53</v>
      </c>
      <c r="L22" s="34" t="s">
        <v>53</v>
      </c>
      <c r="M22" s="34" t="s">
        <v>53</v>
      </c>
      <c r="N22" s="27">
        <v>50.6</v>
      </c>
      <c r="O22" s="27">
        <f>N22*0.8</f>
        <v>40.480000000000004</v>
      </c>
      <c r="P22" s="27">
        <v>53.5</v>
      </c>
      <c r="Q22" s="27">
        <f>P22*0.8</f>
        <v>42.800000000000004</v>
      </c>
      <c r="R22" s="27">
        <v>53.5</v>
      </c>
      <c r="S22" s="27">
        <f>R22*0.8</f>
        <v>42.800000000000004</v>
      </c>
      <c r="T22" s="27">
        <v>53.5</v>
      </c>
      <c r="U22" s="27">
        <f>T22*0.8</f>
        <v>42.800000000000004</v>
      </c>
    </row>
    <row r="23" spans="1:21" ht="13.5" customHeight="1" x14ac:dyDescent="0.15">
      <c r="A23" s="31"/>
      <c r="B23" s="29"/>
      <c r="C23" s="29"/>
      <c r="D23" s="29"/>
      <c r="E23" s="29"/>
      <c r="F23" s="29"/>
      <c r="G23" s="29"/>
      <c r="H23" s="29"/>
      <c r="I23" s="29"/>
      <c r="J23" s="34"/>
      <c r="K23" s="34"/>
      <c r="L23" s="34"/>
      <c r="M23" s="34"/>
      <c r="N23" s="27"/>
      <c r="O23" s="27"/>
      <c r="P23" s="27"/>
      <c r="Q23" s="27"/>
      <c r="R23" s="27"/>
      <c r="S23" s="27"/>
      <c r="T23" s="27"/>
      <c r="U23" s="27"/>
    </row>
    <row r="24" spans="1:21" ht="13.5" customHeight="1" x14ac:dyDescent="0.15">
      <c r="A24" s="31" t="s">
        <v>13</v>
      </c>
      <c r="B24" s="30">
        <v>46.8</v>
      </c>
      <c r="C24" s="30">
        <f>B24*0.8</f>
        <v>37.44</v>
      </c>
      <c r="D24" s="30">
        <v>46.8</v>
      </c>
      <c r="E24" s="30">
        <f>D24*0.8</f>
        <v>37.44</v>
      </c>
      <c r="F24" s="30">
        <v>46.8</v>
      </c>
      <c r="G24" s="30">
        <f>F24*0.8</f>
        <v>37.44</v>
      </c>
      <c r="H24" s="30">
        <v>33</v>
      </c>
      <c r="I24" s="29">
        <f t="shared" si="0"/>
        <v>26.400000000000002</v>
      </c>
      <c r="J24" s="34" t="s">
        <v>53</v>
      </c>
      <c r="K24" s="34" t="s">
        <v>53</v>
      </c>
      <c r="L24" s="35">
        <v>60</v>
      </c>
      <c r="M24" s="35">
        <f>L24*0.8</f>
        <v>48</v>
      </c>
      <c r="N24" s="28">
        <v>55</v>
      </c>
      <c r="O24" s="28">
        <f>N24*0.8</f>
        <v>44</v>
      </c>
      <c r="P24" s="28">
        <v>56.3</v>
      </c>
      <c r="Q24" s="28">
        <f>P24*0.8</f>
        <v>45.04</v>
      </c>
      <c r="R24" s="28">
        <v>56.3</v>
      </c>
      <c r="S24" s="28">
        <f>R24*0.8</f>
        <v>45.04</v>
      </c>
      <c r="T24" s="28">
        <v>60</v>
      </c>
      <c r="U24" s="28">
        <f>T24*0.8</f>
        <v>48</v>
      </c>
    </row>
    <row r="25" spans="1:21" ht="13.5" customHeight="1" x14ac:dyDescent="0.15">
      <c r="A25" s="31" t="s">
        <v>14</v>
      </c>
      <c r="B25" s="30">
        <v>55</v>
      </c>
      <c r="C25" s="30">
        <f t="shared" ref="C25:C38" si="1">B25*0.8</f>
        <v>44</v>
      </c>
      <c r="D25" s="30">
        <v>55</v>
      </c>
      <c r="E25" s="30">
        <f>D25*0.8</f>
        <v>44</v>
      </c>
      <c r="F25" s="30">
        <v>55</v>
      </c>
      <c r="G25" s="30">
        <f>F25*0.8</f>
        <v>44</v>
      </c>
      <c r="H25" s="30">
        <v>41.2</v>
      </c>
      <c r="I25" s="29">
        <f t="shared" si="0"/>
        <v>32.96</v>
      </c>
      <c r="J25" s="34" t="s">
        <v>53</v>
      </c>
      <c r="K25" s="34" t="s">
        <v>53</v>
      </c>
      <c r="L25" s="35">
        <v>66.3</v>
      </c>
      <c r="M25" s="35">
        <f>L25*0.8</f>
        <v>53.04</v>
      </c>
      <c r="N25" s="28">
        <v>65</v>
      </c>
      <c r="O25" s="28">
        <f>N25*0.8</f>
        <v>52</v>
      </c>
      <c r="P25" s="28">
        <v>66.3</v>
      </c>
      <c r="Q25" s="28">
        <f>P25*0.8</f>
        <v>53.04</v>
      </c>
      <c r="R25" s="28">
        <v>66.3</v>
      </c>
      <c r="S25" s="28">
        <f>R25*0.8</f>
        <v>53.04</v>
      </c>
      <c r="T25" s="28">
        <v>71.3</v>
      </c>
      <c r="U25" s="28">
        <f>T25*0.8</f>
        <v>57.04</v>
      </c>
    </row>
    <row r="26" spans="1:21" ht="13.5" customHeight="1" x14ac:dyDescent="0.15">
      <c r="A26" s="31" t="s">
        <v>15</v>
      </c>
      <c r="B26" s="30">
        <v>63</v>
      </c>
      <c r="C26" s="30">
        <f t="shared" si="1"/>
        <v>50.400000000000006</v>
      </c>
      <c r="D26" s="30">
        <v>63</v>
      </c>
      <c r="E26" s="30">
        <f>D26*0.8</f>
        <v>50.400000000000006</v>
      </c>
      <c r="F26" s="30">
        <v>63</v>
      </c>
      <c r="G26" s="30">
        <f>F26*0.8</f>
        <v>50.400000000000006</v>
      </c>
      <c r="H26" s="30">
        <v>47.3</v>
      </c>
      <c r="I26" s="29">
        <f t="shared" si="0"/>
        <v>37.839999999999996</v>
      </c>
      <c r="J26" s="34" t="s">
        <v>53</v>
      </c>
      <c r="K26" s="34" t="s">
        <v>53</v>
      </c>
      <c r="L26" s="35">
        <v>75</v>
      </c>
      <c r="M26" s="35">
        <f>L26*0.8</f>
        <v>60</v>
      </c>
      <c r="N26" s="28">
        <v>72.5</v>
      </c>
      <c r="O26" s="28">
        <f>N26*0.8</f>
        <v>58</v>
      </c>
      <c r="P26" s="28">
        <v>75</v>
      </c>
      <c r="Q26" s="28">
        <f>P26*0.8</f>
        <v>60</v>
      </c>
      <c r="R26" s="28">
        <v>75</v>
      </c>
      <c r="S26" s="28">
        <f>R26*0.8</f>
        <v>60</v>
      </c>
      <c r="T26" s="28">
        <v>80</v>
      </c>
      <c r="U26" s="28">
        <f>T26*0.8</f>
        <v>64</v>
      </c>
    </row>
    <row r="27" spans="1:21" ht="13.5" customHeight="1" x14ac:dyDescent="0.15">
      <c r="A27" s="31" t="s">
        <v>16</v>
      </c>
      <c r="B27" s="30">
        <v>80</v>
      </c>
      <c r="C27" s="30">
        <f t="shared" si="1"/>
        <v>64</v>
      </c>
      <c r="D27" s="30">
        <v>80</v>
      </c>
      <c r="E27" s="30">
        <f>D27*0.8</f>
        <v>64</v>
      </c>
      <c r="F27" s="30">
        <v>80</v>
      </c>
      <c r="G27" s="30">
        <f>F27*0.8</f>
        <v>64</v>
      </c>
      <c r="H27" s="30">
        <v>60.4</v>
      </c>
      <c r="I27" s="29">
        <f t="shared" si="0"/>
        <v>48.32</v>
      </c>
      <c r="J27" s="34" t="s">
        <v>53</v>
      </c>
      <c r="K27" s="34" t="s">
        <v>53</v>
      </c>
      <c r="L27" s="35">
        <v>92</v>
      </c>
      <c r="M27" s="35">
        <f>L27*0.8</f>
        <v>73.600000000000009</v>
      </c>
      <c r="N27" s="28">
        <v>91.9</v>
      </c>
      <c r="O27" s="28">
        <f>N27*0.8</f>
        <v>73.52000000000001</v>
      </c>
      <c r="P27" s="28">
        <v>95</v>
      </c>
      <c r="Q27" s="28">
        <f>P27*0.8</f>
        <v>76</v>
      </c>
      <c r="R27" s="28">
        <v>95</v>
      </c>
      <c r="S27" s="28">
        <f>R27*0.8</f>
        <v>76</v>
      </c>
      <c r="T27" s="28">
        <v>102.5</v>
      </c>
      <c r="U27" s="28">
        <f>T27*0.8</f>
        <v>82</v>
      </c>
    </row>
    <row r="28" spans="1:21" ht="13.5" customHeight="1" x14ac:dyDescent="0.15">
      <c r="A28" s="31" t="s">
        <v>17</v>
      </c>
      <c r="B28" s="30">
        <v>90.8</v>
      </c>
      <c r="C28" s="30">
        <f t="shared" si="1"/>
        <v>72.64</v>
      </c>
      <c r="D28" s="30">
        <v>90.8</v>
      </c>
      <c r="E28" s="30">
        <f>D28*0.8</f>
        <v>72.64</v>
      </c>
      <c r="F28" s="30">
        <v>90.8</v>
      </c>
      <c r="G28" s="30">
        <f>F28*0.8</f>
        <v>72.64</v>
      </c>
      <c r="H28" s="30">
        <v>80.099999999999994</v>
      </c>
      <c r="I28" s="29">
        <f t="shared" si="0"/>
        <v>64.08</v>
      </c>
      <c r="J28" s="34" t="s">
        <v>53</v>
      </c>
      <c r="K28" s="34" t="s">
        <v>53</v>
      </c>
      <c r="L28" s="48">
        <v>106.3</v>
      </c>
      <c r="M28" s="35">
        <f>L28*0.8</f>
        <v>85.04</v>
      </c>
      <c r="N28" s="28">
        <v>101.3</v>
      </c>
      <c r="O28" s="28">
        <f>N28*0.8</f>
        <v>81.040000000000006</v>
      </c>
      <c r="P28" s="28">
        <v>106.3</v>
      </c>
      <c r="Q28" s="28">
        <f>P28*0.8</f>
        <v>85.04</v>
      </c>
      <c r="R28" s="28">
        <v>106.3</v>
      </c>
      <c r="S28" s="28">
        <f>R28*0.8</f>
        <v>85.04</v>
      </c>
      <c r="T28" s="28">
        <v>113.8</v>
      </c>
      <c r="U28" s="28">
        <f>T28*0.8</f>
        <v>91.04</v>
      </c>
    </row>
    <row r="29" spans="1:21" ht="13.5" customHeight="1" x14ac:dyDescent="0.15">
      <c r="A29" s="31"/>
      <c r="B29" s="30"/>
      <c r="C29" s="30"/>
      <c r="D29" s="30"/>
      <c r="E29" s="30"/>
      <c r="F29" s="30"/>
      <c r="G29" s="30"/>
      <c r="H29" s="30"/>
      <c r="I29" s="29"/>
      <c r="J29" s="35"/>
      <c r="K29" s="35"/>
      <c r="L29" s="35"/>
      <c r="M29" s="35"/>
      <c r="N29" s="28"/>
      <c r="O29" s="28"/>
      <c r="P29" s="28"/>
      <c r="Q29" s="28"/>
      <c r="R29" s="28"/>
      <c r="S29" s="28"/>
      <c r="T29" s="28"/>
      <c r="U29" s="28"/>
    </row>
    <row r="30" spans="1:21" ht="13.5" customHeight="1" x14ac:dyDescent="0.15">
      <c r="A30" s="31" t="s">
        <v>18</v>
      </c>
      <c r="B30" s="30">
        <v>110</v>
      </c>
      <c r="C30" s="30">
        <f t="shared" si="1"/>
        <v>88</v>
      </c>
      <c r="D30" s="30">
        <v>110</v>
      </c>
      <c r="E30" s="30">
        <f t="shared" ref="E30:E38" si="2">D30*0.8</f>
        <v>88</v>
      </c>
      <c r="F30" s="30">
        <v>110</v>
      </c>
      <c r="G30" s="30">
        <f t="shared" ref="G30:G38" si="3">F30*0.8</f>
        <v>88</v>
      </c>
      <c r="H30" s="39" t="s">
        <v>53</v>
      </c>
      <c r="I30" s="55" t="s">
        <v>53</v>
      </c>
      <c r="J30" s="34" t="s">
        <v>53</v>
      </c>
      <c r="K30" s="34" t="s">
        <v>53</v>
      </c>
      <c r="L30" s="35">
        <v>132</v>
      </c>
      <c r="M30" s="35">
        <f>L30*0.8</f>
        <v>105.60000000000001</v>
      </c>
      <c r="N30" s="28">
        <v>120</v>
      </c>
      <c r="O30" s="28">
        <f t="shared" ref="O30:O38" si="4">N30*0.8</f>
        <v>96</v>
      </c>
      <c r="P30" s="28">
        <v>127.5</v>
      </c>
      <c r="Q30" s="28">
        <f>P30*0.8</f>
        <v>102</v>
      </c>
      <c r="R30" s="28">
        <v>127.5</v>
      </c>
      <c r="S30" s="28">
        <f>R30*0.8</f>
        <v>102</v>
      </c>
      <c r="T30" s="28">
        <v>137.5</v>
      </c>
      <c r="U30" s="28">
        <f t="shared" ref="U30:U38" si="5">T30*0.8</f>
        <v>110</v>
      </c>
    </row>
    <row r="31" spans="1:21" ht="13.5" customHeight="1" x14ac:dyDescent="0.15">
      <c r="A31" s="62" t="s">
        <v>38</v>
      </c>
      <c r="B31" s="63">
        <v>135</v>
      </c>
      <c r="C31" s="63">
        <f>B31*0.8</f>
        <v>108</v>
      </c>
      <c r="D31" s="63">
        <v>135</v>
      </c>
      <c r="E31" s="63">
        <f t="shared" si="2"/>
        <v>108</v>
      </c>
      <c r="F31" s="63">
        <v>135</v>
      </c>
      <c r="G31" s="63">
        <f t="shared" si="3"/>
        <v>108</v>
      </c>
      <c r="H31" s="63" t="s">
        <v>53</v>
      </c>
      <c r="I31" s="63" t="s">
        <v>53</v>
      </c>
      <c r="J31" s="63" t="s">
        <v>53</v>
      </c>
      <c r="K31" s="63" t="s">
        <v>53</v>
      </c>
      <c r="L31" s="63">
        <v>140</v>
      </c>
      <c r="M31" s="63">
        <f>L31*0.8</f>
        <v>112</v>
      </c>
      <c r="N31" s="63">
        <v>140</v>
      </c>
      <c r="O31" s="63">
        <f t="shared" si="4"/>
        <v>112</v>
      </c>
      <c r="P31" s="63">
        <v>150</v>
      </c>
      <c r="Q31" s="63">
        <f>P31*0.8</f>
        <v>120</v>
      </c>
      <c r="R31" s="63">
        <v>150</v>
      </c>
      <c r="S31" s="63">
        <f>R31*0.8</f>
        <v>120</v>
      </c>
      <c r="T31" s="63">
        <v>150</v>
      </c>
      <c r="U31" s="63">
        <f t="shared" si="5"/>
        <v>120</v>
      </c>
    </row>
    <row r="32" spans="1:21" ht="13.5" customHeight="1" x14ac:dyDescent="0.15">
      <c r="A32" s="31" t="s">
        <v>19</v>
      </c>
      <c r="B32" s="30">
        <v>150</v>
      </c>
      <c r="C32" s="30">
        <f t="shared" si="1"/>
        <v>120</v>
      </c>
      <c r="D32" s="30">
        <v>150</v>
      </c>
      <c r="E32" s="30">
        <f t="shared" si="2"/>
        <v>120</v>
      </c>
      <c r="F32" s="30">
        <v>150</v>
      </c>
      <c r="G32" s="30">
        <f t="shared" si="3"/>
        <v>120</v>
      </c>
      <c r="H32" s="39" t="s">
        <v>53</v>
      </c>
      <c r="I32" s="55" t="s">
        <v>53</v>
      </c>
      <c r="J32" s="34" t="s">
        <v>53</v>
      </c>
      <c r="K32" s="34" t="s">
        <v>53</v>
      </c>
      <c r="L32" s="35">
        <v>175</v>
      </c>
      <c r="M32" s="35">
        <f>L32*0.8</f>
        <v>140</v>
      </c>
      <c r="N32" s="28">
        <v>175</v>
      </c>
      <c r="O32" s="28">
        <f t="shared" si="4"/>
        <v>140</v>
      </c>
      <c r="P32" s="28">
        <v>181.3</v>
      </c>
      <c r="Q32" s="28">
        <f>P32*0.8</f>
        <v>145.04000000000002</v>
      </c>
      <c r="R32" s="28">
        <v>181.3</v>
      </c>
      <c r="S32" s="28">
        <f>R32*0.8</f>
        <v>145.04000000000002</v>
      </c>
      <c r="T32" s="28">
        <v>193.8</v>
      </c>
      <c r="U32" s="28">
        <f t="shared" si="5"/>
        <v>155.04000000000002</v>
      </c>
    </row>
    <row r="33" spans="1:21" ht="13.5" customHeight="1" x14ac:dyDescent="0.15">
      <c r="A33" s="62" t="s">
        <v>20</v>
      </c>
      <c r="B33" s="63">
        <v>160</v>
      </c>
      <c r="C33" s="63">
        <f>B33*0.8</f>
        <v>128</v>
      </c>
      <c r="D33" s="63">
        <v>160</v>
      </c>
      <c r="E33" s="63">
        <f t="shared" si="2"/>
        <v>128</v>
      </c>
      <c r="F33" s="63">
        <v>160</v>
      </c>
      <c r="G33" s="63">
        <f t="shared" si="3"/>
        <v>128</v>
      </c>
      <c r="H33" s="63" t="s">
        <v>53</v>
      </c>
      <c r="I33" s="63" t="s">
        <v>53</v>
      </c>
      <c r="J33" s="63" t="s">
        <v>53</v>
      </c>
      <c r="K33" s="63" t="s">
        <v>53</v>
      </c>
      <c r="L33" s="63" t="s">
        <v>53</v>
      </c>
      <c r="M33" s="63" t="s">
        <v>53</v>
      </c>
      <c r="N33" s="63">
        <v>170</v>
      </c>
      <c r="O33" s="63">
        <f t="shared" si="4"/>
        <v>136</v>
      </c>
      <c r="P33" s="63">
        <v>180</v>
      </c>
      <c r="Q33" s="63">
        <v>144</v>
      </c>
      <c r="R33" s="63">
        <v>180</v>
      </c>
      <c r="S33" s="63">
        <v>144</v>
      </c>
      <c r="T33" s="63">
        <v>190</v>
      </c>
      <c r="U33" s="63">
        <f t="shared" si="5"/>
        <v>152</v>
      </c>
    </row>
    <row r="34" spans="1:21" ht="13.5" customHeight="1" x14ac:dyDescent="0.15">
      <c r="A34" s="31" t="s">
        <v>21</v>
      </c>
      <c r="B34" s="30">
        <v>175</v>
      </c>
      <c r="C34" s="30">
        <f t="shared" si="1"/>
        <v>140</v>
      </c>
      <c r="D34" s="30">
        <v>175</v>
      </c>
      <c r="E34" s="30">
        <f t="shared" si="2"/>
        <v>140</v>
      </c>
      <c r="F34" s="30">
        <v>175</v>
      </c>
      <c r="G34" s="30">
        <f t="shared" si="3"/>
        <v>140</v>
      </c>
      <c r="H34" s="39" t="s">
        <v>53</v>
      </c>
      <c r="I34" s="55" t="s">
        <v>53</v>
      </c>
      <c r="J34" s="34" t="s">
        <v>53</v>
      </c>
      <c r="K34" s="34" t="s">
        <v>53</v>
      </c>
      <c r="L34" s="35">
        <v>190</v>
      </c>
      <c r="M34" s="35">
        <f>L34*0.8</f>
        <v>152</v>
      </c>
      <c r="N34" s="28">
        <v>192.5</v>
      </c>
      <c r="O34" s="28">
        <f t="shared" si="4"/>
        <v>154</v>
      </c>
      <c r="P34" s="28">
        <v>206.3</v>
      </c>
      <c r="Q34" s="28">
        <f>P34*0.8</f>
        <v>165.04000000000002</v>
      </c>
      <c r="R34" s="28">
        <v>206.3</v>
      </c>
      <c r="S34" s="28">
        <f>R34*0.8</f>
        <v>165.04000000000002</v>
      </c>
      <c r="T34" s="28">
        <v>218.8</v>
      </c>
      <c r="U34" s="28">
        <f t="shared" si="5"/>
        <v>175.04000000000002</v>
      </c>
    </row>
    <row r="35" spans="1:21" ht="13.5" customHeight="1" x14ac:dyDescent="0.15">
      <c r="A35" s="31" t="s">
        <v>22</v>
      </c>
      <c r="B35" s="30">
        <v>194</v>
      </c>
      <c r="C35" s="30">
        <f t="shared" si="1"/>
        <v>155.20000000000002</v>
      </c>
      <c r="D35" s="30">
        <v>194</v>
      </c>
      <c r="E35" s="30">
        <f t="shared" si="2"/>
        <v>155.20000000000002</v>
      </c>
      <c r="F35" s="30">
        <v>194</v>
      </c>
      <c r="G35" s="30">
        <f t="shared" si="3"/>
        <v>155.20000000000002</v>
      </c>
      <c r="H35" s="39" t="s">
        <v>53</v>
      </c>
      <c r="I35" s="55" t="s">
        <v>53</v>
      </c>
      <c r="J35" s="34" t="s">
        <v>53</v>
      </c>
      <c r="K35" s="34" t="s">
        <v>53</v>
      </c>
      <c r="L35" s="35">
        <v>212.5</v>
      </c>
      <c r="M35" s="35">
        <f>L35*0.8</f>
        <v>170</v>
      </c>
      <c r="N35" s="28">
        <v>218.5</v>
      </c>
      <c r="O35" s="28">
        <f t="shared" si="4"/>
        <v>174.8</v>
      </c>
      <c r="P35" s="28">
        <v>234</v>
      </c>
      <c r="Q35" s="28">
        <f>P35*0.8</f>
        <v>187.20000000000002</v>
      </c>
      <c r="R35" s="28">
        <v>234</v>
      </c>
      <c r="S35" s="28">
        <f>R35*0.8</f>
        <v>187.20000000000002</v>
      </c>
      <c r="T35" s="28">
        <v>253.3</v>
      </c>
      <c r="U35" s="28">
        <f t="shared" si="5"/>
        <v>202.64000000000001</v>
      </c>
    </row>
    <row r="36" spans="1:21" ht="13.5" customHeight="1" x14ac:dyDescent="0.15">
      <c r="A36" s="31" t="s">
        <v>23</v>
      </c>
      <c r="B36" s="30">
        <v>220</v>
      </c>
      <c r="C36" s="30">
        <f t="shared" si="1"/>
        <v>176</v>
      </c>
      <c r="D36" s="30">
        <v>220</v>
      </c>
      <c r="E36" s="30">
        <f t="shared" si="2"/>
        <v>176</v>
      </c>
      <c r="F36" s="30">
        <v>220</v>
      </c>
      <c r="G36" s="30">
        <f t="shared" si="3"/>
        <v>176</v>
      </c>
      <c r="H36" s="39" t="s">
        <v>53</v>
      </c>
      <c r="I36" s="55" t="s">
        <v>53</v>
      </c>
      <c r="J36" s="34" t="s">
        <v>53</v>
      </c>
      <c r="K36" s="34" t="s">
        <v>53</v>
      </c>
      <c r="L36" s="35">
        <v>256.3</v>
      </c>
      <c r="M36" s="35">
        <f>L36*0.8</f>
        <v>205.04000000000002</v>
      </c>
      <c r="N36" s="28">
        <v>256.3</v>
      </c>
      <c r="O36" s="28">
        <f t="shared" si="4"/>
        <v>205.04000000000002</v>
      </c>
      <c r="P36" s="28">
        <v>265</v>
      </c>
      <c r="Q36" s="28">
        <f>P36*0.8</f>
        <v>212</v>
      </c>
      <c r="R36" s="28">
        <v>265</v>
      </c>
      <c r="S36" s="28">
        <f>R36*0.8</f>
        <v>212</v>
      </c>
      <c r="T36" s="28">
        <v>280</v>
      </c>
      <c r="U36" s="28">
        <f t="shared" si="5"/>
        <v>224</v>
      </c>
    </row>
    <row r="37" spans="1:21" ht="13.5" customHeight="1" x14ac:dyDescent="0.15">
      <c r="A37" s="31" t="s">
        <v>24</v>
      </c>
      <c r="B37" s="30">
        <v>260</v>
      </c>
      <c r="C37" s="30">
        <f t="shared" si="1"/>
        <v>208</v>
      </c>
      <c r="D37" s="30">
        <v>260</v>
      </c>
      <c r="E37" s="30">
        <f t="shared" si="2"/>
        <v>208</v>
      </c>
      <c r="F37" s="30">
        <v>260</v>
      </c>
      <c r="G37" s="30">
        <f t="shared" si="3"/>
        <v>208</v>
      </c>
      <c r="H37" s="39" t="s">
        <v>53</v>
      </c>
      <c r="I37" s="55" t="s">
        <v>53</v>
      </c>
      <c r="J37" s="34" t="s">
        <v>53</v>
      </c>
      <c r="K37" s="34" t="s">
        <v>53</v>
      </c>
      <c r="L37" s="34" t="s">
        <v>53</v>
      </c>
      <c r="M37" s="34" t="s">
        <v>53</v>
      </c>
      <c r="N37" s="28">
        <v>294</v>
      </c>
      <c r="O37" s="28">
        <f t="shared" si="4"/>
        <v>235.20000000000002</v>
      </c>
      <c r="P37" s="28">
        <v>306</v>
      </c>
      <c r="Q37" s="28">
        <f>P37*0.8</f>
        <v>244.8</v>
      </c>
      <c r="R37" s="28">
        <v>319</v>
      </c>
      <c r="S37" s="28">
        <f>R37*0.8</f>
        <v>255.20000000000002</v>
      </c>
      <c r="T37" s="28">
        <v>325</v>
      </c>
      <c r="U37" s="28">
        <f t="shared" si="5"/>
        <v>260</v>
      </c>
    </row>
    <row r="38" spans="1:21" ht="13.5" customHeight="1" x14ac:dyDescent="0.15">
      <c r="A38" s="31" t="s">
        <v>25</v>
      </c>
      <c r="B38" s="30">
        <v>275</v>
      </c>
      <c r="C38" s="30">
        <f t="shared" si="1"/>
        <v>220</v>
      </c>
      <c r="D38" s="30">
        <v>275</v>
      </c>
      <c r="E38" s="30">
        <f t="shared" si="2"/>
        <v>220</v>
      </c>
      <c r="F38" s="30">
        <v>275</v>
      </c>
      <c r="G38" s="30">
        <f t="shared" si="3"/>
        <v>220</v>
      </c>
      <c r="H38" s="39" t="s">
        <v>53</v>
      </c>
      <c r="I38" s="55" t="s">
        <v>53</v>
      </c>
      <c r="J38" s="34" t="s">
        <v>53</v>
      </c>
      <c r="K38" s="34" t="s">
        <v>53</v>
      </c>
      <c r="L38" s="49">
        <v>325</v>
      </c>
      <c r="M38" s="35">
        <f>L38*0.8</f>
        <v>260</v>
      </c>
      <c r="N38" s="28">
        <v>312</v>
      </c>
      <c r="O38" s="28">
        <f t="shared" si="4"/>
        <v>249.60000000000002</v>
      </c>
      <c r="P38" s="28">
        <v>320</v>
      </c>
      <c r="Q38" s="28">
        <f>P38*0.8</f>
        <v>256</v>
      </c>
      <c r="R38" s="28">
        <v>343.8</v>
      </c>
      <c r="S38" s="28">
        <f>R38*0.8</f>
        <v>275.04000000000002</v>
      </c>
      <c r="T38" s="28">
        <v>343.8</v>
      </c>
      <c r="U38" s="28">
        <f t="shared" si="5"/>
        <v>275.04000000000002</v>
      </c>
    </row>
    <row r="39" spans="1:21" ht="13.5" customHeight="1" x14ac:dyDescent="0.15">
      <c r="A39" s="31"/>
      <c r="B39" s="30"/>
      <c r="C39" s="30"/>
      <c r="D39" s="30"/>
      <c r="E39" s="30"/>
      <c r="F39" s="30"/>
      <c r="G39" s="30"/>
      <c r="H39" s="30"/>
      <c r="I39" s="29"/>
      <c r="J39" s="35"/>
      <c r="K39" s="35"/>
      <c r="L39" s="35"/>
      <c r="M39" s="35"/>
      <c r="N39" s="28"/>
      <c r="O39" s="28"/>
      <c r="P39" s="28"/>
      <c r="Q39" s="28"/>
      <c r="R39" s="28"/>
      <c r="S39" s="28"/>
      <c r="T39" s="28"/>
      <c r="U39" s="28"/>
    </row>
    <row r="40" spans="1:21" ht="13.5" customHeight="1" x14ac:dyDescent="0.15">
      <c r="A40" s="32" t="s">
        <v>29</v>
      </c>
      <c r="B40" s="30">
        <v>268</v>
      </c>
      <c r="C40" s="30">
        <f t="shared" ref="C40:C46" si="6">B40*0.8</f>
        <v>214.4</v>
      </c>
      <c r="D40" s="30">
        <v>268</v>
      </c>
      <c r="E40" s="30">
        <f t="shared" ref="E40:E46" si="7">D40*0.8</f>
        <v>214.4</v>
      </c>
      <c r="F40" s="30">
        <v>268</v>
      </c>
      <c r="G40" s="30">
        <f t="shared" ref="G40:G46" si="8">F40*0.8</f>
        <v>214.4</v>
      </c>
      <c r="H40" s="30">
        <v>268</v>
      </c>
      <c r="I40" s="29">
        <f t="shared" si="0"/>
        <v>214.4</v>
      </c>
      <c r="J40" s="35">
        <v>331</v>
      </c>
      <c r="K40" s="35">
        <f>J40*0.8</f>
        <v>264.8</v>
      </c>
      <c r="L40" s="35">
        <v>331</v>
      </c>
      <c r="M40" s="35">
        <f>L40*0.8</f>
        <v>264.8</v>
      </c>
      <c r="N40" s="28">
        <v>313</v>
      </c>
      <c r="O40" s="28">
        <f t="shared" ref="O40:O46" si="9">N40*0.8</f>
        <v>250.4</v>
      </c>
      <c r="P40" s="28">
        <v>325</v>
      </c>
      <c r="Q40" s="28">
        <f>P40*0.8</f>
        <v>260</v>
      </c>
      <c r="R40" s="28">
        <v>331</v>
      </c>
      <c r="S40" s="28">
        <f>R40*0.8</f>
        <v>264.8</v>
      </c>
      <c r="T40" s="28">
        <v>344</v>
      </c>
      <c r="U40" s="28">
        <f t="shared" ref="U40:U46" si="10">T40*0.8</f>
        <v>275.2</v>
      </c>
    </row>
    <row r="41" spans="1:21" ht="13.5" customHeight="1" x14ac:dyDescent="0.15">
      <c r="A41" s="32" t="s">
        <v>30</v>
      </c>
      <c r="B41" s="30">
        <v>324</v>
      </c>
      <c r="C41" s="30">
        <f t="shared" si="6"/>
        <v>259.2</v>
      </c>
      <c r="D41" s="30">
        <v>324</v>
      </c>
      <c r="E41" s="30">
        <f t="shared" si="7"/>
        <v>259.2</v>
      </c>
      <c r="F41" s="30">
        <v>324</v>
      </c>
      <c r="G41" s="30">
        <f t="shared" si="8"/>
        <v>259.2</v>
      </c>
      <c r="H41" s="30">
        <v>305</v>
      </c>
      <c r="I41" s="29">
        <f t="shared" si="0"/>
        <v>244</v>
      </c>
      <c r="J41" s="35">
        <v>383</v>
      </c>
      <c r="K41" s="35">
        <f>J41*0.8</f>
        <v>306.40000000000003</v>
      </c>
      <c r="L41" s="35">
        <v>383</v>
      </c>
      <c r="M41" s="35">
        <f>L41*0.8</f>
        <v>306.40000000000003</v>
      </c>
      <c r="N41" s="28">
        <v>363</v>
      </c>
      <c r="O41" s="28">
        <f t="shared" si="9"/>
        <v>290.40000000000003</v>
      </c>
      <c r="P41" s="28">
        <v>383</v>
      </c>
      <c r="Q41" s="28">
        <f t="shared" ref="Q41:Q46" si="11">P41*0.8</f>
        <v>306.40000000000003</v>
      </c>
      <c r="R41" s="28">
        <v>398</v>
      </c>
      <c r="S41" s="28">
        <f t="shared" ref="S41:S46" si="12">R41*0.8</f>
        <v>318.40000000000003</v>
      </c>
      <c r="T41" s="28">
        <v>413</v>
      </c>
      <c r="U41" s="28">
        <f t="shared" si="10"/>
        <v>330.40000000000003</v>
      </c>
    </row>
    <row r="42" spans="1:21" ht="13.5" customHeight="1" x14ac:dyDescent="0.15">
      <c r="A42" s="32" t="s">
        <v>26</v>
      </c>
      <c r="B42" s="30">
        <v>330</v>
      </c>
      <c r="C42" s="30">
        <f t="shared" si="6"/>
        <v>264</v>
      </c>
      <c r="D42" s="30">
        <v>330</v>
      </c>
      <c r="E42" s="30">
        <f t="shared" si="7"/>
        <v>264</v>
      </c>
      <c r="F42" s="30">
        <v>330</v>
      </c>
      <c r="G42" s="30">
        <f t="shared" si="8"/>
        <v>264</v>
      </c>
      <c r="H42" s="30">
        <v>320</v>
      </c>
      <c r="I42" s="29">
        <f t="shared" si="0"/>
        <v>256</v>
      </c>
      <c r="J42" s="35">
        <v>383</v>
      </c>
      <c r="K42" s="35">
        <f>J42*0.8</f>
        <v>306.40000000000003</v>
      </c>
      <c r="L42" s="35">
        <v>383</v>
      </c>
      <c r="M42" s="35">
        <f>L42*0.8</f>
        <v>306.40000000000003</v>
      </c>
      <c r="N42" s="28">
        <v>374</v>
      </c>
      <c r="O42" s="28">
        <f t="shared" si="9"/>
        <v>299.2</v>
      </c>
      <c r="P42" s="28">
        <v>396</v>
      </c>
      <c r="Q42" s="28">
        <f t="shared" si="11"/>
        <v>316.8</v>
      </c>
      <c r="R42" s="28">
        <v>413</v>
      </c>
      <c r="S42" s="28">
        <f t="shared" si="12"/>
        <v>330.40000000000003</v>
      </c>
      <c r="T42" s="28">
        <v>413</v>
      </c>
      <c r="U42" s="28">
        <f t="shared" si="10"/>
        <v>330.40000000000003</v>
      </c>
    </row>
    <row r="43" spans="1:21" ht="13.5" customHeight="1" x14ac:dyDescent="0.15">
      <c r="A43" s="32" t="s">
        <v>31</v>
      </c>
      <c r="B43" s="30">
        <v>358</v>
      </c>
      <c r="C43" s="30">
        <f t="shared" si="6"/>
        <v>286.40000000000003</v>
      </c>
      <c r="D43" s="30">
        <v>358</v>
      </c>
      <c r="E43" s="30">
        <f t="shared" si="7"/>
        <v>286.40000000000003</v>
      </c>
      <c r="F43" s="30">
        <v>358</v>
      </c>
      <c r="G43" s="30">
        <f t="shared" si="8"/>
        <v>286.40000000000003</v>
      </c>
      <c r="H43" s="30">
        <v>358</v>
      </c>
      <c r="I43" s="29">
        <f t="shared" si="0"/>
        <v>286.40000000000003</v>
      </c>
      <c r="J43" s="35" t="s">
        <v>53</v>
      </c>
      <c r="K43" s="35" t="s">
        <v>53</v>
      </c>
      <c r="L43" s="35" t="s">
        <v>53</v>
      </c>
      <c r="M43" s="35" t="s">
        <v>53</v>
      </c>
      <c r="N43" s="28">
        <v>419</v>
      </c>
      <c r="O43" s="28">
        <f t="shared" si="9"/>
        <v>335.20000000000005</v>
      </c>
      <c r="P43" s="28">
        <v>431</v>
      </c>
      <c r="Q43" s="28">
        <f t="shared" si="11"/>
        <v>344.8</v>
      </c>
      <c r="R43" s="28">
        <v>444</v>
      </c>
      <c r="S43" s="28">
        <f t="shared" si="12"/>
        <v>355.20000000000005</v>
      </c>
      <c r="T43" s="28">
        <v>456</v>
      </c>
      <c r="U43" s="28">
        <f t="shared" si="10"/>
        <v>364.8</v>
      </c>
    </row>
    <row r="44" spans="1:21" ht="13.5" customHeight="1" x14ac:dyDescent="0.15">
      <c r="A44" s="32" t="s">
        <v>27</v>
      </c>
      <c r="B44" s="30">
        <v>380</v>
      </c>
      <c r="C44" s="30">
        <f t="shared" si="6"/>
        <v>304</v>
      </c>
      <c r="D44" s="30">
        <v>380</v>
      </c>
      <c r="E44" s="30">
        <f t="shared" si="7"/>
        <v>304</v>
      </c>
      <c r="F44" s="30">
        <v>380</v>
      </c>
      <c r="G44" s="30">
        <f t="shared" si="8"/>
        <v>304</v>
      </c>
      <c r="H44" s="30">
        <v>380</v>
      </c>
      <c r="I44" s="29">
        <f t="shared" si="0"/>
        <v>304</v>
      </c>
      <c r="J44" s="35" t="s">
        <v>53</v>
      </c>
      <c r="K44" s="35" t="s">
        <v>53</v>
      </c>
      <c r="L44" s="35" t="s">
        <v>53</v>
      </c>
      <c r="M44" s="35" t="s">
        <v>53</v>
      </c>
      <c r="N44" s="28">
        <v>432</v>
      </c>
      <c r="O44" s="28">
        <f t="shared" si="9"/>
        <v>345.6</v>
      </c>
      <c r="P44" s="28">
        <v>456</v>
      </c>
      <c r="Q44" s="28">
        <f t="shared" si="11"/>
        <v>364.8</v>
      </c>
      <c r="R44" s="28">
        <v>475</v>
      </c>
      <c r="S44" s="28">
        <f t="shared" si="12"/>
        <v>380</v>
      </c>
      <c r="T44" s="28">
        <v>475</v>
      </c>
      <c r="U44" s="28">
        <f t="shared" si="10"/>
        <v>380</v>
      </c>
    </row>
    <row r="45" spans="1:21" ht="13.5" customHeight="1" x14ac:dyDescent="0.15">
      <c r="A45" s="32" t="s">
        <v>32</v>
      </c>
      <c r="B45" s="30">
        <v>404</v>
      </c>
      <c r="C45" s="30">
        <f t="shared" si="6"/>
        <v>323.20000000000005</v>
      </c>
      <c r="D45" s="30">
        <v>404</v>
      </c>
      <c r="E45" s="30">
        <f t="shared" si="7"/>
        <v>323.20000000000005</v>
      </c>
      <c r="F45" s="30">
        <v>404</v>
      </c>
      <c r="G45" s="30">
        <f t="shared" si="8"/>
        <v>323.20000000000005</v>
      </c>
      <c r="H45" s="30">
        <v>404</v>
      </c>
      <c r="I45" s="29">
        <f t="shared" si="0"/>
        <v>323.20000000000005</v>
      </c>
      <c r="J45" s="35">
        <v>519</v>
      </c>
      <c r="K45" s="35">
        <f>J45*0.8</f>
        <v>415.20000000000005</v>
      </c>
      <c r="L45" s="35">
        <v>519</v>
      </c>
      <c r="M45" s="35">
        <f>L45*0.8</f>
        <v>415.20000000000005</v>
      </c>
      <c r="N45" s="28">
        <v>488</v>
      </c>
      <c r="O45" s="28">
        <f t="shared" si="9"/>
        <v>390.40000000000003</v>
      </c>
      <c r="P45" s="28">
        <v>500</v>
      </c>
      <c r="Q45" s="28">
        <f t="shared" si="11"/>
        <v>400</v>
      </c>
      <c r="R45" s="28">
        <v>506</v>
      </c>
      <c r="S45" s="28">
        <f t="shared" si="12"/>
        <v>404.8</v>
      </c>
      <c r="T45" s="28">
        <v>519</v>
      </c>
      <c r="U45" s="28">
        <f t="shared" si="10"/>
        <v>415.20000000000005</v>
      </c>
    </row>
    <row r="46" spans="1:21" ht="13.5" customHeight="1" x14ac:dyDescent="0.15">
      <c r="A46" s="32" t="s">
        <v>28</v>
      </c>
      <c r="B46" s="30">
        <v>440</v>
      </c>
      <c r="C46" s="30">
        <f t="shared" si="6"/>
        <v>352</v>
      </c>
      <c r="D46" s="30">
        <v>440</v>
      </c>
      <c r="E46" s="30">
        <f t="shared" si="7"/>
        <v>352</v>
      </c>
      <c r="F46" s="30">
        <v>440</v>
      </c>
      <c r="G46" s="30">
        <f t="shared" si="8"/>
        <v>352</v>
      </c>
      <c r="H46" s="30">
        <v>440</v>
      </c>
      <c r="I46" s="29">
        <f t="shared" si="0"/>
        <v>352</v>
      </c>
      <c r="J46" s="35">
        <v>550</v>
      </c>
      <c r="K46" s="35">
        <f>J46*0.8</f>
        <v>440</v>
      </c>
      <c r="L46" s="35">
        <v>550</v>
      </c>
      <c r="M46" s="35">
        <f>L46*0.8</f>
        <v>440</v>
      </c>
      <c r="N46" s="28">
        <v>500</v>
      </c>
      <c r="O46" s="28">
        <f t="shared" si="9"/>
        <v>400</v>
      </c>
      <c r="P46" s="28">
        <v>528</v>
      </c>
      <c r="Q46" s="28">
        <f t="shared" si="11"/>
        <v>422.40000000000003</v>
      </c>
      <c r="R46" s="28">
        <v>550</v>
      </c>
      <c r="S46" s="28">
        <f t="shared" si="12"/>
        <v>440</v>
      </c>
      <c r="T46" s="28">
        <v>550</v>
      </c>
      <c r="U46" s="28">
        <f t="shared" si="10"/>
        <v>440</v>
      </c>
    </row>
    <row r="47" spans="1:21" ht="13.5" customHeight="1" x14ac:dyDescent="0.15">
      <c r="A47" s="32"/>
      <c r="B47" s="30"/>
      <c r="C47" s="30"/>
      <c r="D47" s="30"/>
      <c r="E47" s="30"/>
      <c r="F47" s="30"/>
      <c r="G47" s="30"/>
      <c r="H47" s="30"/>
      <c r="I47" s="29"/>
      <c r="J47" s="35"/>
      <c r="K47" s="35"/>
      <c r="L47" s="35"/>
      <c r="M47" s="35"/>
      <c r="N47" s="28"/>
      <c r="O47" s="28"/>
      <c r="P47" s="28"/>
      <c r="Q47" s="28"/>
      <c r="R47" s="28"/>
      <c r="S47" s="28"/>
      <c r="T47" s="28"/>
      <c r="U47" s="28"/>
    </row>
    <row r="48" spans="1:21" ht="13.5" customHeight="1" x14ac:dyDescent="0.15">
      <c r="A48" s="32" t="s">
        <v>33</v>
      </c>
      <c r="B48" s="22">
        <v>495</v>
      </c>
      <c r="C48" s="30">
        <f t="shared" ref="C48:C53" si="13">B48*0.8</f>
        <v>396</v>
      </c>
      <c r="D48" s="22">
        <v>495</v>
      </c>
      <c r="E48" s="30">
        <f t="shared" ref="E48:E53" si="14">D48*0.8</f>
        <v>396</v>
      </c>
      <c r="F48" s="22">
        <v>495</v>
      </c>
      <c r="G48" s="30">
        <f t="shared" ref="G48:G53" si="15">F48*0.8</f>
        <v>396</v>
      </c>
      <c r="H48" s="30">
        <v>495</v>
      </c>
      <c r="I48" s="29">
        <f t="shared" si="0"/>
        <v>396</v>
      </c>
      <c r="J48" s="35">
        <v>540</v>
      </c>
      <c r="K48" s="35">
        <f>J48*0.8</f>
        <v>432</v>
      </c>
      <c r="L48" s="35">
        <v>540</v>
      </c>
      <c r="M48" s="35">
        <f>L48*0.8</f>
        <v>432</v>
      </c>
      <c r="N48" s="28">
        <v>569</v>
      </c>
      <c r="O48" s="28">
        <f t="shared" ref="O48:O53" si="16">N48*0.8</f>
        <v>455.20000000000005</v>
      </c>
      <c r="P48" s="28">
        <v>600</v>
      </c>
      <c r="Q48" s="28">
        <f t="shared" ref="Q48:Q53" si="17">P48*0.8</f>
        <v>480</v>
      </c>
      <c r="R48" s="28">
        <v>631</v>
      </c>
      <c r="S48" s="28">
        <f t="shared" ref="S48:S53" si="18">R48*0.8</f>
        <v>504.8</v>
      </c>
      <c r="T48" s="28">
        <v>644</v>
      </c>
      <c r="U48" s="28">
        <f t="shared" ref="U48:U53" si="19">T48*0.8</f>
        <v>515.20000000000005</v>
      </c>
    </row>
    <row r="49" spans="1:21" ht="13.5" customHeight="1" x14ac:dyDescent="0.15">
      <c r="A49" s="32" t="s">
        <v>34</v>
      </c>
      <c r="B49" s="30">
        <v>530</v>
      </c>
      <c r="C49" s="30">
        <f t="shared" si="13"/>
        <v>424</v>
      </c>
      <c r="D49" s="30">
        <v>530</v>
      </c>
      <c r="E49" s="30">
        <f t="shared" si="14"/>
        <v>424</v>
      </c>
      <c r="F49" s="30">
        <v>530</v>
      </c>
      <c r="G49" s="30">
        <f t="shared" si="15"/>
        <v>424</v>
      </c>
      <c r="H49" s="30">
        <v>530</v>
      </c>
      <c r="I49" s="29">
        <f t="shared" si="0"/>
        <v>424</v>
      </c>
      <c r="J49" s="35">
        <v>673</v>
      </c>
      <c r="K49" s="35">
        <f>J49*0.8</f>
        <v>538.4</v>
      </c>
      <c r="L49" s="35">
        <v>673</v>
      </c>
      <c r="M49" s="35">
        <f>L49*0.8</f>
        <v>538.4</v>
      </c>
      <c r="N49" s="28">
        <v>606</v>
      </c>
      <c r="O49" s="28">
        <f t="shared" si="16"/>
        <v>484.8</v>
      </c>
      <c r="P49" s="28">
        <v>644</v>
      </c>
      <c r="Q49" s="28">
        <f t="shared" si="17"/>
        <v>515.20000000000005</v>
      </c>
      <c r="R49" s="28">
        <v>673</v>
      </c>
      <c r="S49" s="28">
        <f t="shared" si="18"/>
        <v>538.4</v>
      </c>
      <c r="T49" s="28">
        <v>694</v>
      </c>
      <c r="U49" s="28">
        <f t="shared" si="19"/>
        <v>555.20000000000005</v>
      </c>
    </row>
    <row r="50" spans="1:21" ht="13.5" customHeight="1" x14ac:dyDescent="0.15">
      <c r="A50" s="59" t="s">
        <v>35</v>
      </c>
      <c r="B50" s="60">
        <v>620</v>
      </c>
      <c r="C50" s="60">
        <f t="shared" si="13"/>
        <v>496</v>
      </c>
      <c r="D50" s="60">
        <v>620</v>
      </c>
      <c r="E50" s="60">
        <f t="shared" si="14"/>
        <v>496</v>
      </c>
      <c r="F50" s="60">
        <v>620</v>
      </c>
      <c r="G50" s="60">
        <f t="shared" si="15"/>
        <v>496</v>
      </c>
      <c r="H50" s="60">
        <v>620</v>
      </c>
      <c r="I50" s="61">
        <f t="shared" si="0"/>
        <v>496</v>
      </c>
      <c r="J50" s="60" t="s">
        <v>53</v>
      </c>
      <c r="K50" s="60" t="s">
        <v>53</v>
      </c>
      <c r="L50" s="60" t="s">
        <v>53</v>
      </c>
      <c r="M50" s="60" t="s">
        <v>53</v>
      </c>
      <c r="N50" s="60">
        <v>635</v>
      </c>
      <c r="O50" s="60">
        <f t="shared" si="16"/>
        <v>508</v>
      </c>
      <c r="P50" s="60">
        <v>650</v>
      </c>
      <c r="Q50" s="60">
        <f t="shared" si="17"/>
        <v>520</v>
      </c>
      <c r="R50" s="60">
        <v>670</v>
      </c>
      <c r="S50" s="60">
        <f t="shared" si="18"/>
        <v>536</v>
      </c>
      <c r="T50" s="60">
        <v>700</v>
      </c>
      <c r="U50" s="60">
        <f t="shared" si="19"/>
        <v>560</v>
      </c>
    </row>
    <row r="51" spans="1:21" ht="13.5" customHeight="1" x14ac:dyDescent="0.15">
      <c r="A51" s="32" t="s">
        <v>36</v>
      </c>
      <c r="B51" s="22">
        <v>660</v>
      </c>
      <c r="C51" s="30">
        <f t="shared" si="13"/>
        <v>528</v>
      </c>
      <c r="D51" s="22">
        <v>660</v>
      </c>
      <c r="E51" s="30">
        <f t="shared" si="14"/>
        <v>528</v>
      </c>
      <c r="F51" s="22">
        <v>660</v>
      </c>
      <c r="G51" s="30">
        <f t="shared" si="15"/>
        <v>528</v>
      </c>
      <c r="H51" s="30">
        <v>660</v>
      </c>
      <c r="I51" s="29">
        <f t="shared" si="0"/>
        <v>528</v>
      </c>
      <c r="J51" s="35">
        <v>730</v>
      </c>
      <c r="K51" s="35">
        <f>J51*0.8</f>
        <v>584</v>
      </c>
      <c r="L51" s="35">
        <v>730</v>
      </c>
      <c r="M51" s="35">
        <f>L51*0.8</f>
        <v>584</v>
      </c>
      <c r="N51" s="28">
        <v>738</v>
      </c>
      <c r="O51" s="28">
        <f t="shared" si="16"/>
        <v>590.4</v>
      </c>
      <c r="P51" s="28">
        <v>769</v>
      </c>
      <c r="Q51" s="28">
        <f t="shared" si="17"/>
        <v>615.20000000000005</v>
      </c>
      <c r="R51" s="28">
        <v>798</v>
      </c>
      <c r="S51" s="28">
        <f t="shared" si="18"/>
        <v>638.40000000000009</v>
      </c>
      <c r="T51" s="28">
        <v>819</v>
      </c>
      <c r="U51" s="28">
        <f t="shared" si="19"/>
        <v>655.20000000000005</v>
      </c>
    </row>
    <row r="52" spans="1:21" ht="13.5" customHeight="1" x14ac:dyDescent="0.15">
      <c r="A52" s="59" t="s">
        <v>47</v>
      </c>
      <c r="B52" s="60">
        <v>680</v>
      </c>
      <c r="C52" s="60">
        <f t="shared" si="13"/>
        <v>544</v>
      </c>
      <c r="D52" s="60">
        <v>680</v>
      </c>
      <c r="E52" s="60">
        <f t="shared" si="14"/>
        <v>544</v>
      </c>
      <c r="F52" s="60">
        <v>680</v>
      </c>
      <c r="G52" s="60">
        <f t="shared" si="15"/>
        <v>544</v>
      </c>
      <c r="H52" s="60">
        <v>680</v>
      </c>
      <c r="I52" s="60">
        <f t="shared" si="0"/>
        <v>544</v>
      </c>
      <c r="J52" s="60">
        <v>750</v>
      </c>
      <c r="K52" s="60">
        <v>600</v>
      </c>
      <c r="L52" s="60">
        <f>M52/0.8</f>
        <v>750</v>
      </c>
      <c r="M52" s="60">
        <v>600</v>
      </c>
      <c r="N52" s="60">
        <v>700</v>
      </c>
      <c r="O52" s="60">
        <f t="shared" si="16"/>
        <v>560</v>
      </c>
      <c r="P52" s="60">
        <v>735</v>
      </c>
      <c r="Q52" s="60">
        <f t="shared" si="17"/>
        <v>588</v>
      </c>
      <c r="R52" s="60">
        <v>755</v>
      </c>
      <c r="S52" s="60">
        <f t="shared" si="18"/>
        <v>604</v>
      </c>
      <c r="T52" s="60">
        <v>765</v>
      </c>
      <c r="U52" s="60">
        <f t="shared" si="19"/>
        <v>612</v>
      </c>
    </row>
    <row r="53" spans="1:21" x14ac:dyDescent="0.15">
      <c r="A53" s="32" t="s">
        <v>37</v>
      </c>
      <c r="B53" s="22">
        <v>738</v>
      </c>
      <c r="C53" s="30">
        <f t="shared" si="13"/>
        <v>590.4</v>
      </c>
      <c r="D53" s="22">
        <v>738</v>
      </c>
      <c r="E53" s="30">
        <f t="shared" si="14"/>
        <v>590.4</v>
      </c>
      <c r="F53" s="22">
        <v>738</v>
      </c>
      <c r="G53" s="30">
        <f t="shared" si="15"/>
        <v>590.4</v>
      </c>
      <c r="H53" s="30">
        <v>715</v>
      </c>
      <c r="I53" s="29">
        <f t="shared" si="0"/>
        <v>572</v>
      </c>
      <c r="J53" s="35">
        <v>906</v>
      </c>
      <c r="K53" s="35">
        <f>J53*0.8</f>
        <v>724.80000000000007</v>
      </c>
      <c r="L53" s="35">
        <v>906</v>
      </c>
      <c r="M53" s="35">
        <f>L53*0.8</f>
        <v>724.80000000000007</v>
      </c>
      <c r="N53" s="28">
        <v>806</v>
      </c>
      <c r="O53" s="28">
        <f t="shared" si="16"/>
        <v>644.80000000000007</v>
      </c>
      <c r="P53" s="28">
        <v>844</v>
      </c>
      <c r="Q53" s="28">
        <f t="shared" si="17"/>
        <v>675.2</v>
      </c>
      <c r="R53" s="28">
        <v>878</v>
      </c>
      <c r="S53" s="28">
        <f t="shared" si="18"/>
        <v>702.40000000000009</v>
      </c>
      <c r="T53" s="28">
        <v>906</v>
      </c>
      <c r="U53" s="28">
        <f t="shared" si="19"/>
        <v>724.80000000000007</v>
      </c>
    </row>
    <row r="54" spans="1:21" x14ac:dyDescent="0.15">
      <c r="A54" s="1"/>
      <c r="B54" s="9"/>
      <c r="C54" s="10"/>
      <c r="D54" s="11"/>
      <c r="E54" s="10"/>
      <c r="F54" s="11"/>
      <c r="G54" s="12"/>
      <c r="H54" s="10"/>
      <c r="I54" s="10"/>
      <c r="J54" s="13"/>
      <c r="K54" s="10"/>
      <c r="L54" s="10"/>
      <c r="M54" s="10"/>
      <c r="N54" s="14"/>
      <c r="O54" s="14"/>
      <c r="P54" s="14"/>
      <c r="Q54" s="14"/>
      <c r="R54" s="14"/>
      <c r="S54" s="14"/>
      <c r="T54" s="14"/>
      <c r="U54" s="15"/>
    </row>
    <row r="55" spans="1:21" x14ac:dyDescent="0.15">
      <c r="A55" s="24" t="s">
        <v>68</v>
      </c>
      <c r="B55" s="139" t="s">
        <v>66</v>
      </c>
      <c r="C55" s="140"/>
      <c r="D55" s="140"/>
      <c r="E55" s="140"/>
      <c r="F55" s="140"/>
      <c r="G55" s="140"/>
      <c r="H55" s="140"/>
      <c r="I55" s="141"/>
      <c r="J55" s="135" t="s">
        <v>67</v>
      </c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6"/>
    </row>
    <row r="56" spans="1:21" x14ac:dyDescent="0.15">
      <c r="A56" s="24" t="s">
        <v>58</v>
      </c>
      <c r="B56" s="128">
        <v>0.8</v>
      </c>
      <c r="C56" s="129"/>
      <c r="D56" s="128">
        <v>0.8</v>
      </c>
      <c r="E56" s="129"/>
      <c r="F56" s="128">
        <v>0.8</v>
      </c>
      <c r="G56" s="129"/>
      <c r="H56" s="128">
        <v>0.8</v>
      </c>
      <c r="I56" s="129"/>
      <c r="J56" s="130">
        <v>0.8</v>
      </c>
      <c r="K56" s="131"/>
      <c r="L56" s="20">
        <v>0.8</v>
      </c>
      <c r="M56" s="21"/>
      <c r="N56" s="20">
        <v>0.8</v>
      </c>
      <c r="O56" s="21"/>
      <c r="P56" s="130">
        <v>0.8</v>
      </c>
      <c r="Q56" s="131"/>
      <c r="R56" s="130">
        <v>0.8</v>
      </c>
      <c r="S56" s="131"/>
      <c r="T56" s="130">
        <v>0.8</v>
      </c>
      <c r="U56" s="131"/>
    </row>
    <row r="57" spans="1:21" x14ac:dyDescent="0.15">
      <c r="A57" s="24" t="s">
        <v>59</v>
      </c>
      <c r="B57" s="17"/>
      <c r="C57" s="18"/>
      <c r="D57" s="17"/>
      <c r="E57" s="18"/>
      <c r="F57" s="17"/>
      <c r="G57" s="18"/>
      <c r="H57" s="53"/>
      <c r="I57" s="53"/>
      <c r="J57" s="20"/>
      <c r="K57" s="21"/>
      <c r="L57" s="20"/>
      <c r="M57" s="21"/>
      <c r="N57" s="20"/>
      <c r="O57" s="21"/>
      <c r="P57" s="20"/>
      <c r="Q57" s="21"/>
      <c r="R57" s="20"/>
      <c r="S57" s="21"/>
      <c r="T57" s="20"/>
      <c r="U57" s="21"/>
    </row>
    <row r="58" spans="1:21" x14ac:dyDescent="0.15">
      <c r="A58" s="24" t="s">
        <v>104</v>
      </c>
      <c r="B58" s="128">
        <v>380</v>
      </c>
      <c r="C58" s="129"/>
      <c r="D58" s="137">
        <v>400</v>
      </c>
      <c r="E58" s="137"/>
      <c r="F58" s="128">
        <v>415</v>
      </c>
      <c r="G58" s="129"/>
      <c r="H58" s="128">
        <v>440</v>
      </c>
      <c r="I58" s="129"/>
      <c r="J58" s="130" t="s">
        <v>48</v>
      </c>
      <c r="K58" s="131"/>
      <c r="L58" s="20"/>
      <c r="M58" s="21"/>
      <c r="N58" s="54">
        <v>416</v>
      </c>
      <c r="O58" s="52"/>
      <c r="P58" s="130">
        <v>440</v>
      </c>
      <c r="Q58" s="131"/>
      <c r="R58" s="130">
        <v>460</v>
      </c>
      <c r="S58" s="131"/>
      <c r="T58" s="130">
        <v>480</v>
      </c>
      <c r="U58" s="131"/>
    </row>
    <row r="59" spans="1:21" x14ac:dyDescent="0.15">
      <c r="A59" s="24" t="s">
        <v>105</v>
      </c>
      <c r="B59" s="128">
        <v>220</v>
      </c>
      <c r="C59" s="129"/>
      <c r="D59" s="128">
        <v>230</v>
      </c>
      <c r="E59" s="129"/>
      <c r="F59" s="128">
        <v>240</v>
      </c>
      <c r="G59" s="129"/>
      <c r="H59" s="128">
        <v>254</v>
      </c>
      <c r="I59" s="129"/>
      <c r="J59" s="130" t="s">
        <v>50</v>
      </c>
      <c r="K59" s="131"/>
      <c r="L59" s="20"/>
      <c r="M59" s="21"/>
      <c r="N59" s="54">
        <v>240</v>
      </c>
      <c r="O59" s="52"/>
      <c r="P59" s="126">
        <v>254</v>
      </c>
      <c r="Q59" s="127"/>
      <c r="R59" s="126">
        <v>266</v>
      </c>
      <c r="S59" s="127"/>
      <c r="T59" s="126">
        <v>277</v>
      </c>
      <c r="U59" s="127"/>
    </row>
    <row r="60" spans="1:21" x14ac:dyDescent="0.15">
      <c r="A60" s="24" t="s">
        <v>106</v>
      </c>
      <c r="B60" s="128">
        <v>380</v>
      </c>
      <c r="C60" s="129"/>
      <c r="D60" s="137">
        <v>400</v>
      </c>
      <c r="E60" s="137"/>
      <c r="F60" s="128">
        <v>415</v>
      </c>
      <c r="G60" s="129"/>
      <c r="H60" s="128">
        <v>440</v>
      </c>
      <c r="I60" s="129"/>
      <c r="J60" s="135" t="s">
        <v>53</v>
      </c>
      <c r="K60" s="136"/>
      <c r="L60" s="130" t="s">
        <v>48</v>
      </c>
      <c r="M60" s="131"/>
      <c r="N60" s="54">
        <v>416</v>
      </c>
      <c r="O60" s="52"/>
      <c r="P60" s="130">
        <v>440</v>
      </c>
      <c r="Q60" s="131"/>
      <c r="R60" s="130">
        <v>460</v>
      </c>
      <c r="S60" s="131"/>
      <c r="T60" s="130">
        <v>480</v>
      </c>
      <c r="U60" s="131"/>
    </row>
    <row r="61" spans="1:21" x14ac:dyDescent="0.15">
      <c r="A61" s="24" t="s">
        <v>107</v>
      </c>
      <c r="B61" s="128">
        <v>190</v>
      </c>
      <c r="C61" s="129"/>
      <c r="D61" s="128">
        <v>200</v>
      </c>
      <c r="E61" s="129"/>
      <c r="F61" s="128">
        <v>208</v>
      </c>
      <c r="G61" s="129"/>
      <c r="H61" s="128">
        <v>220</v>
      </c>
      <c r="I61" s="129"/>
      <c r="J61" s="130" t="s">
        <v>53</v>
      </c>
      <c r="K61" s="131"/>
      <c r="L61" s="130" t="s">
        <v>49</v>
      </c>
      <c r="M61" s="131"/>
      <c r="N61" s="126">
        <v>208</v>
      </c>
      <c r="O61" s="127"/>
      <c r="P61" s="126">
        <v>220</v>
      </c>
      <c r="Q61" s="127"/>
      <c r="R61" s="126">
        <v>230</v>
      </c>
      <c r="S61" s="127"/>
      <c r="T61" s="126">
        <v>240</v>
      </c>
      <c r="U61" s="127"/>
    </row>
    <row r="62" spans="1:21" x14ac:dyDescent="0.15">
      <c r="A62" s="25" t="s">
        <v>62</v>
      </c>
      <c r="B62" s="128">
        <v>220</v>
      </c>
      <c r="C62" s="129"/>
      <c r="D62" s="128">
        <v>230</v>
      </c>
      <c r="E62" s="129"/>
      <c r="F62" s="128">
        <v>240</v>
      </c>
      <c r="G62" s="129"/>
      <c r="H62" s="128">
        <v>254</v>
      </c>
      <c r="I62" s="129"/>
      <c r="J62" s="135" t="s">
        <v>53</v>
      </c>
      <c r="K62" s="136"/>
      <c r="L62" s="130" t="s">
        <v>50</v>
      </c>
      <c r="M62" s="131"/>
      <c r="N62" s="54">
        <v>240</v>
      </c>
      <c r="O62" s="52"/>
      <c r="P62" s="126">
        <v>254</v>
      </c>
      <c r="Q62" s="127"/>
      <c r="R62" s="126">
        <v>266</v>
      </c>
      <c r="S62" s="127"/>
      <c r="T62" s="126">
        <v>277</v>
      </c>
      <c r="U62" s="127"/>
    </row>
    <row r="63" spans="1:21" x14ac:dyDescent="0.15">
      <c r="A63" s="25" t="s">
        <v>63</v>
      </c>
      <c r="B63" s="128" t="s">
        <v>55</v>
      </c>
      <c r="C63" s="129"/>
      <c r="D63" s="128" t="s">
        <v>55</v>
      </c>
      <c r="E63" s="129"/>
      <c r="F63" s="128" t="s">
        <v>55</v>
      </c>
      <c r="G63" s="129"/>
      <c r="H63" s="128" t="s">
        <v>55</v>
      </c>
      <c r="I63" s="129"/>
      <c r="J63" s="130">
        <v>13</v>
      </c>
      <c r="K63" s="131"/>
      <c r="L63" s="20">
        <v>14</v>
      </c>
      <c r="M63" s="21"/>
      <c r="N63" s="54" t="s">
        <v>55</v>
      </c>
      <c r="O63" s="52"/>
      <c r="P63" s="126" t="s">
        <v>55</v>
      </c>
      <c r="Q63" s="127"/>
      <c r="R63" s="126" t="s">
        <v>55</v>
      </c>
      <c r="S63" s="127"/>
      <c r="T63" s="126" t="s">
        <v>55</v>
      </c>
      <c r="U63" s="127"/>
    </row>
    <row r="64" spans="1:21" x14ac:dyDescent="0.15">
      <c r="A64" s="26" t="s">
        <v>64</v>
      </c>
      <c r="B64" s="19" t="s">
        <v>0</v>
      </c>
      <c r="C64" s="19" t="s">
        <v>1</v>
      </c>
      <c r="D64" s="19" t="s">
        <v>0</v>
      </c>
      <c r="E64" s="19" t="s">
        <v>1</v>
      </c>
      <c r="F64" s="19" t="s">
        <v>0</v>
      </c>
      <c r="G64" s="19" t="s">
        <v>1</v>
      </c>
      <c r="H64" s="19" t="s">
        <v>0</v>
      </c>
      <c r="I64" s="19" t="s">
        <v>1</v>
      </c>
      <c r="J64" s="22" t="s">
        <v>51</v>
      </c>
      <c r="K64" s="23" t="s">
        <v>52</v>
      </c>
      <c r="L64" s="22" t="s">
        <v>51</v>
      </c>
      <c r="M64" s="23" t="s">
        <v>52</v>
      </c>
      <c r="N64" s="23" t="s">
        <v>0</v>
      </c>
      <c r="O64" s="23" t="s">
        <v>1</v>
      </c>
      <c r="P64" s="23" t="s">
        <v>0</v>
      </c>
      <c r="Q64" s="23" t="s">
        <v>1</v>
      </c>
      <c r="R64" s="23" t="s">
        <v>0</v>
      </c>
      <c r="S64" s="23" t="s">
        <v>1</v>
      </c>
      <c r="T64" s="23" t="s">
        <v>0</v>
      </c>
      <c r="U64" s="23" t="s">
        <v>1</v>
      </c>
    </row>
    <row r="65" spans="1:21" x14ac:dyDescent="0.15">
      <c r="A65" s="32" t="s">
        <v>39</v>
      </c>
      <c r="B65" s="22">
        <v>745</v>
      </c>
      <c r="C65" s="30">
        <f t="shared" ref="C65:C70" si="20">B65*0.8</f>
        <v>596</v>
      </c>
      <c r="D65" s="22">
        <v>790</v>
      </c>
      <c r="E65" s="30">
        <f t="shared" ref="E65:E70" si="21">D65*0.8</f>
        <v>632</v>
      </c>
      <c r="F65" s="22">
        <v>790</v>
      </c>
      <c r="G65" s="30">
        <f t="shared" ref="G65:G70" si="22">F65*0.8</f>
        <v>632</v>
      </c>
      <c r="H65" s="30">
        <v>715</v>
      </c>
      <c r="I65" s="30">
        <f t="shared" ref="I65:I70" si="23">H65*0.8</f>
        <v>572</v>
      </c>
      <c r="J65" s="35">
        <v>984</v>
      </c>
      <c r="K65" s="35">
        <f>J65*0.8</f>
        <v>787.2</v>
      </c>
      <c r="L65" s="35">
        <v>984</v>
      </c>
      <c r="M65" s="35">
        <f>L65*0.8</f>
        <v>787.2</v>
      </c>
      <c r="N65" s="28">
        <v>849</v>
      </c>
      <c r="O65" s="28">
        <f t="shared" ref="O65:O70" si="24">N65*0.8</f>
        <v>679.2</v>
      </c>
      <c r="P65" s="28">
        <v>898</v>
      </c>
      <c r="Q65" s="28">
        <f t="shared" ref="Q65:Q70" si="25">P65*0.8</f>
        <v>718.40000000000009</v>
      </c>
      <c r="R65" s="28">
        <v>939</v>
      </c>
      <c r="S65" s="28">
        <f t="shared" ref="S65:S70" si="26">R65*0.8</f>
        <v>751.2</v>
      </c>
      <c r="T65" s="28">
        <v>980</v>
      </c>
      <c r="U65" s="28">
        <f t="shared" ref="U65:U70" si="27">T65*0.8</f>
        <v>784</v>
      </c>
    </row>
    <row r="66" spans="1:21" x14ac:dyDescent="0.15">
      <c r="A66" s="33" t="s">
        <v>54</v>
      </c>
      <c r="B66" s="22">
        <v>800</v>
      </c>
      <c r="C66" s="30">
        <f t="shared" si="20"/>
        <v>640</v>
      </c>
      <c r="D66" s="22">
        <v>840</v>
      </c>
      <c r="E66" s="30">
        <f t="shared" si="21"/>
        <v>672</v>
      </c>
      <c r="F66" s="22">
        <v>840</v>
      </c>
      <c r="G66" s="30">
        <f t="shared" si="22"/>
        <v>672</v>
      </c>
      <c r="H66" s="30">
        <v>760</v>
      </c>
      <c r="I66" s="30">
        <f t="shared" si="23"/>
        <v>608</v>
      </c>
      <c r="J66" s="35" t="s">
        <v>53</v>
      </c>
      <c r="K66" s="35" t="s">
        <v>53</v>
      </c>
      <c r="L66" s="35" t="s">
        <v>53</v>
      </c>
      <c r="M66" s="35" t="s">
        <v>53</v>
      </c>
      <c r="N66" s="28">
        <v>905</v>
      </c>
      <c r="O66" s="28">
        <f t="shared" si="24"/>
        <v>724</v>
      </c>
      <c r="P66" s="28">
        <v>958</v>
      </c>
      <c r="Q66" s="28">
        <f t="shared" si="25"/>
        <v>766.40000000000009</v>
      </c>
      <c r="R66" s="28">
        <v>1000</v>
      </c>
      <c r="S66" s="28">
        <f t="shared" si="26"/>
        <v>800</v>
      </c>
      <c r="T66" s="28">
        <v>1045</v>
      </c>
      <c r="U66" s="28">
        <f t="shared" si="27"/>
        <v>836</v>
      </c>
    </row>
    <row r="67" spans="1:21" x14ac:dyDescent="0.15">
      <c r="A67" s="32" t="s">
        <v>40</v>
      </c>
      <c r="B67" s="22">
        <v>910</v>
      </c>
      <c r="C67" s="30">
        <f t="shared" si="20"/>
        <v>728</v>
      </c>
      <c r="D67" s="22">
        <v>955</v>
      </c>
      <c r="E67" s="30">
        <f t="shared" si="21"/>
        <v>764</v>
      </c>
      <c r="F67" s="22">
        <v>955</v>
      </c>
      <c r="G67" s="30">
        <f t="shared" si="22"/>
        <v>764</v>
      </c>
      <c r="H67" s="30">
        <v>865</v>
      </c>
      <c r="I67" s="30">
        <f t="shared" si="23"/>
        <v>692</v>
      </c>
      <c r="J67" s="35">
        <v>1116</v>
      </c>
      <c r="K67" s="35">
        <f>J67*0.8</f>
        <v>892.80000000000007</v>
      </c>
      <c r="L67" s="35">
        <v>1116</v>
      </c>
      <c r="M67" s="35">
        <f>L67*0.8</f>
        <v>892.80000000000007</v>
      </c>
      <c r="N67" s="28">
        <v>1030</v>
      </c>
      <c r="O67" s="28">
        <f t="shared" si="24"/>
        <v>824</v>
      </c>
      <c r="P67" s="28">
        <v>1090</v>
      </c>
      <c r="Q67" s="28">
        <f t="shared" si="25"/>
        <v>872</v>
      </c>
      <c r="R67" s="28">
        <v>1140</v>
      </c>
      <c r="S67" s="28">
        <f t="shared" si="26"/>
        <v>912</v>
      </c>
      <c r="T67" s="28">
        <v>1190</v>
      </c>
      <c r="U67" s="28">
        <f t="shared" si="27"/>
        <v>952</v>
      </c>
    </row>
    <row r="68" spans="1:21" x14ac:dyDescent="0.15">
      <c r="A68" s="32" t="s">
        <v>41</v>
      </c>
      <c r="B68" s="22">
        <v>1000</v>
      </c>
      <c r="C68" s="30">
        <f t="shared" si="20"/>
        <v>800</v>
      </c>
      <c r="D68" s="22">
        <v>1050</v>
      </c>
      <c r="E68" s="30">
        <f t="shared" si="21"/>
        <v>840</v>
      </c>
      <c r="F68" s="22">
        <v>1050</v>
      </c>
      <c r="G68" s="30">
        <f t="shared" si="22"/>
        <v>840</v>
      </c>
      <c r="H68" s="30">
        <v>955</v>
      </c>
      <c r="I68" s="30">
        <f t="shared" si="23"/>
        <v>764</v>
      </c>
      <c r="J68" s="35">
        <v>1313</v>
      </c>
      <c r="K68" s="35">
        <f>J68*0.8</f>
        <v>1050.4000000000001</v>
      </c>
      <c r="L68" s="35">
        <v>1313</v>
      </c>
      <c r="M68" s="35">
        <f>L68*0.8</f>
        <v>1050.4000000000001</v>
      </c>
      <c r="N68" s="28">
        <v>1130</v>
      </c>
      <c r="O68" s="28">
        <f t="shared" si="24"/>
        <v>904</v>
      </c>
      <c r="P68" s="28">
        <v>1195</v>
      </c>
      <c r="Q68" s="28">
        <f t="shared" si="25"/>
        <v>956</v>
      </c>
      <c r="R68" s="28">
        <v>1250</v>
      </c>
      <c r="S68" s="28">
        <f t="shared" si="26"/>
        <v>1000</v>
      </c>
      <c r="T68" s="28">
        <v>1305</v>
      </c>
      <c r="U68" s="28">
        <f t="shared" si="27"/>
        <v>1044</v>
      </c>
    </row>
    <row r="69" spans="1:21" x14ac:dyDescent="0.15">
      <c r="A69" s="32" t="s">
        <v>42</v>
      </c>
      <c r="B69" s="22">
        <v>1145</v>
      </c>
      <c r="C69" s="30">
        <f t="shared" si="20"/>
        <v>916</v>
      </c>
      <c r="D69" s="22">
        <v>1185</v>
      </c>
      <c r="E69" s="30">
        <f t="shared" si="21"/>
        <v>948</v>
      </c>
      <c r="F69" s="22">
        <v>1185</v>
      </c>
      <c r="G69" s="30">
        <f t="shared" si="22"/>
        <v>948</v>
      </c>
      <c r="H69" s="30">
        <v>1075</v>
      </c>
      <c r="I69" s="30">
        <f t="shared" si="23"/>
        <v>860</v>
      </c>
      <c r="J69" s="35">
        <v>1386</v>
      </c>
      <c r="K69" s="35">
        <f>J69*0.8</f>
        <v>1108.8</v>
      </c>
      <c r="L69" s="35">
        <v>1386</v>
      </c>
      <c r="M69" s="35">
        <f>L69*0.8</f>
        <v>1108.8</v>
      </c>
      <c r="N69" s="28">
        <v>1257</v>
      </c>
      <c r="O69" s="28">
        <f t="shared" si="24"/>
        <v>1005.6</v>
      </c>
      <c r="P69" s="28">
        <v>1329</v>
      </c>
      <c r="Q69" s="28">
        <f t="shared" si="25"/>
        <v>1063.2</v>
      </c>
      <c r="R69" s="28">
        <v>1390</v>
      </c>
      <c r="S69" s="28">
        <f t="shared" si="26"/>
        <v>1112</v>
      </c>
      <c r="T69" s="28">
        <v>1450</v>
      </c>
      <c r="U69" s="28">
        <f t="shared" si="27"/>
        <v>1160</v>
      </c>
    </row>
    <row r="70" spans="1:21" x14ac:dyDescent="0.15">
      <c r="A70" s="32" t="s">
        <v>12</v>
      </c>
      <c r="B70" s="22">
        <v>1250</v>
      </c>
      <c r="C70" s="30">
        <f t="shared" si="20"/>
        <v>1000</v>
      </c>
      <c r="D70" s="22">
        <v>1313</v>
      </c>
      <c r="E70" s="30">
        <f t="shared" si="21"/>
        <v>1050.4000000000001</v>
      </c>
      <c r="F70" s="22">
        <v>1313</v>
      </c>
      <c r="G70" s="30">
        <f t="shared" si="22"/>
        <v>1050.4000000000001</v>
      </c>
      <c r="H70" s="30">
        <v>1190</v>
      </c>
      <c r="I70" s="30">
        <f t="shared" si="23"/>
        <v>952</v>
      </c>
      <c r="J70" s="35">
        <v>1641</v>
      </c>
      <c r="K70" s="35">
        <f>J70*0.8</f>
        <v>1312.8000000000002</v>
      </c>
      <c r="L70" s="35" t="s">
        <v>53</v>
      </c>
      <c r="M70" s="35" t="s">
        <v>53</v>
      </c>
      <c r="N70" s="28">
        <v>1369</v>
      </c>
      <c r="O70" s="28">
        <f t="shared" si="24"/>
        <v>1095.2</v>
      </c>
      <c r="P70" s="28">
        <v>1448</v>
      </c>
      <c r="Q70" s="28">
        <f t="shared" si="25"/>
        <v>1158.4000000000001</v>
      </c>
      <c r="R70" s="28">
        <v>1514</v>
      </c>
      <c r="S70" s="28">
        <f t="shared" si="26"/>
        <v>1211.2</v>
      </c>
      <c r="T70" s="28">
        <v>1580</v>
      </c>
      <c r="U70" s="28">
        <f t="shared" si="27"/>
        <v>1264</v>
      </c>
    </row>
    <row r="71" spans="1:21" hidden="1" x14ac:dyDescent="0.15">
      <c r="A71" s="6"/>
      <c r="B71" s="6"/>
      <c r="C71" s="5"/>
      <c r="D71" s="6"/>
      <c r="E71" s="5"/>
      <c r="F71" s="6"/>
      <c r="G71" s="5"/>
      <c r="H71" s="5"/>
      <c r="I71" s="5"/>
      <c r="J71" s="5"/>
      <c r="K71" s="5"/>
      <c r="L71" s="5"/>
      <c r="M71" s="5"/>
      <c r="N71" s="4"/>
      <c r="O71" s="4"/>
      <c r="P71" s="4"/>
      <c r="Q71" s="4"/>
      <c r="R71" s="4"/>
      <c r="S71" s="4"/>
      <c r="T71" s="4"/>
      <c r="U71" s="4"/>
    </row>
    <row r="72" spans="1:21" hidden="1" x14ac:dyDescent="0.15">
      <c r="A72" s="2" t="s">
        <v>43</v>
      </c>
      <c r="B72" s="6">
        <v>810</v>
      </c>
      <c r="C72" s="8">
        <f>B72*0.8</f>
        <v>648</v>
      </c>
      <c r="D72" s="6">
        <v>810</v>
      </c>
      <c r="E72" s="8">
        <f>D72*0.8</f>
        <v>648</v>
      </c>
      <c r="F72" s="6">
        <v>810</v>
      </c>
      <c r="G72" s="8">
        <f>F72*0.8</f>
        <v>648</v>
      </c>
      <c r="H72" s="8"/>
      <c r="I72" s="8"/>
      <c r="J72" s="8"/>
      <c r="K72" s="8"/>
      <c r="L72" s="8"/>
      <c r="M72" s="8"/>
      <c r="N72" s="8">
        <v>875</v>
      </c>
      <c r="O72" s="8">
        <f>N72*0.8</f>
        <v>700</v>
      </c>
      <c r="P72" s="8">
        <v>925</v>
      </c>
      <c r="Q72" s="8">
        <f>P72*0.8</f>
        <v>740</v>
      </c>
      <c r="R72" s="8">
        <v>963</v>
      </c>
      <c r="S72" s="8">
        <f>R72*0.8</f>
        <v>770.40000000000009</v>
      </c>
      <c r="T72" s="8">
        <v>1000</v>
      </c>
      <c r="U72" s="8">
        <f>T72*0.8</f>
        <v>800</v>
      </c>
    </row>
    <row r="73" spans="1:21" hidden="1" x14ac:dyDescent="0.15">
      <c r="A73" s="2" t="s">
        <v>44</v>
      </c>
      <c r="B73" s="6">
        <v>940</v>
      </c>
      <c r="C73" s="7">
        <v>752</v>
      </c>
      <c r="D73" s="6">
        <v>940</v>
      </c>
      <c r="E73" s="7">
        <v>752</v>
      </c>
      <c r="F73" s="6">
        <v>940</v>
      </c>
      <c r="G73" s="7">
        <v>752</v>
      </c>
      <c r="H73" s="7"/>
      <c r="I73" s="7"/>
      <c r="J73" s="7"/>
      <c r="K73" s="7"/>
      <c r="L73" s="7"/>
      <c r="M73" s="7"/>
      <c r="N73" s="8">
        <v>1025</v>
      </c>
      <c r="O73" s="8">
        <f>N73*0.8</f>
        <v>820</v>
      </c>
      <c r="P73" s="8">
        <v>1063</v>
      </c>
      <c r="Q73" s="8">
        <f>P73*0.8</f>
        <v>850.40000000000009</v>
      </c>
      <c r="R73" s="8">
        <v>1075</v>
      </c>
      <c r="S73" s="8">
        <f>R73*0.8</f>
        <v>860</v>
      </c>
      <c r="T73" s="8">
        <v>1125</v>
      </c>
      <c r="U73" s="8">
        <f>T73*0.8</f>
        <v>900</v>
      </c>
    </row>
    <row r="74" spans="1:21" hidden="1" x14ac:dyDescent="0.15">
      <c r="A74" s="2" t="s">
        <v>45</v>
      </c>
      <c r="B74" s="6">
        <v>1030</v>
      </c>
      <c r="C74" s="7">
        <v>824</v>
      </c>
      <c r="D74" s="6">
        <v>1030</v>
      </c>
      <c r="E74" s="7">
        <v>824</v>
      </c>
      <c r="F74" s="6">
        <v>1030</v>
      </c>
      <c r="G74" s="7">
        <v>824</v>
      </c>
      <c r="H74" s="7"/>
      <c r="I74" s="7"/>
      <c r="J74" s="7"/>
      <c r="K74" s="7"/>
      <c r="L74" s="7"/>
      <c r="M74" s="7"/>
      <c r="N74" s="8">
        <v>1150</v>
      </c>
      <c r="O74" s="8">
        <f>N74*0.8</f>
        <v>920</v>
      </c>
      <c r="P74" s="8">
        <v>1200</v>
      </c>
      <c r="Q74" s="8">
        <f>P74*0.8</f>
        <v>960</v>
      </c>
      <c r="R74" s="8">
        <v>1250</v>
      </c>
      <c r="S74" s="8">
        <f>R74*0.8</f>
        <v>1000</v>
      </c>
      <c r="T74" s="8">
        <v>1200</v>
      </c>
      <c r="U74" s="8">
        <f>T74*0.8</f>
        <v>960</v>
      </c>
    </row>
    <row r="75" spans="1:21" hidden="1" x14ac:dyDescent="0.15">
      <c r="A75" s="2" t="s">
        <v>46</v>
      </c>
      <c r="B75" s="6">
        <v>1130</v>
      </c>
      <c r="C75" s="7">
        <v>904</v>
      </c>
      <c r="D75" s="6">
        <v>1130</v>
      </c>
      <c r="E75" s="7">
        <v>904</v>
      </c>
      <c r="F75" s="6">
        <v>1130</v>
      </c>
      <c r="G75" s="7">
        <v>904</v>
      </c>
      <c r="H75" s="7"/>
      <c r="I75" s="7"/>
      <c r="J75" s="7"/>
      <c r="K75" s="7"/>
      <c r="L75" s="7"/>
      <c r="M75" s="7"/>
      <c r="N75" s="8">
        <v>1275</v>
      </c>
      <c r="O75" s="8">
        <f>N75*0.8</f>
        <v>1020</v>
      </c>
      <c r="P75" s="8">
        <v>1338</v>
      </c>
      <c r="Q75" s="8">
        <f>P75*0.8</f>
        <v>1070.4000000000001</v>
      </c>
      <c r="R75" s="8">
        <v>1388</v>
      </c>
      <c r="S75" s="8">
        <f>R75*0.8</f>
        <v>1110.4000000000001</v>
      </c>
      <c r="T75" s="8">
        <v>1438</v>
      </c>
      <c r="U75" s="8">
        <f>T75*0.8</f>
        <v>1150.4000000000001</v>
      </c>
    </row>
    <row r="77" spans="1:21" x14ac:dyDescent="0.15">
      <c r="A77" s="16" t="s">
        <v>56</v>
      </c>
    </row>
    <row r="78" spans="1:21" x14ac:dyDescent="0.15">
      <c r="A78" s="16" t="s">
        <v>75</v>
      </c>
    </row>
    <row r="79" spans="1:21" x14ac:dyDescent="0.15">
      <c r="A79" s="57" t="s">
        <v>108</v>
      </c>
    </row>
    <row r="80" spans="1:21" x14ac:dyDescent="0.15">
      <c r="A80" s="57" t="s">
        <v>114</v>
      </c>
    </row>
  </sheetData>
  <mergeCells count="133">
    <mergeCell ref="R62:S62"/>
    <mergeCell ref="T62:U62"/>
    <mergeCell ref="R63:S63"/>
    <mergeCell ref="T63:U63"/>
    <mergeCell ref="B63:C63"/>
    <mergeCell ref="D63:E63"/>
    <mergeCell ref="F63:G63"/>
    <mergeCell ref="H63:I63"/>
    <mergeCell ref="J63:K63"/>
    <mergeCell ref="P63:Q63"/>
    <mergeCell ref="P61:Q61"/>
    <mergeCell ref="R61:S61"/>
    <mergeCell ref="T61:U61"/>
    <mergeCell ref="B62:C62"/>
    <mergeCell ref="D62:E62"/>
    <mergeCell ref="F62:G62"/>
    <mergeCell ref="H62:I62"/>
    <mergeCell ref="J62:K62"/>
    <mergeCell ref="L62:M62"/>
    <mergeCell ref="P62:Q62"/>
    <mergeCell ref="P60:Q60"/>
    <mergeCell ref="R60:S60"/>
    <mergeCell ref="T60:U60"/>
    <mergeCell ref="B61:C61"/>
    <mergeCell ref="D61:E61"/>
    <mergeCell ref="F61:G61"/>
    <mergeCell ref="H61:I61"/>
    <mergeCell ref="J61:K61"/>
    <mergeCell ref="L61:M61"/>
    <mergeCell ref="N61:O61"/>
    <mergeCell ref="B60:C60"/>
    <mergeCell ref="D60:E60"/>
    <mergeCell ref="F60:G60"/>
    <mergeCell ref="H60:I60"/>
    <mergeCell ref="J60:K60"/>
    <mergeCell ref="L60:M60"/>
    <mergeCell ref="B59:C59"/>
    <mergeCell ref="D59:E59"/>
    <mergeCell ref="F59:G59"/>
    <mergeCell ref="H59:I59"/>
    <mergeCell ref="R59:S59"/>
    <mergeCell ref="T59:U59"/>
    <mergeCell ref="J59:K59"/>
    <mergeCell ref="P59:Q59"/>
    <mergeCell ref="R56:S56"/>
    <mergeCell ref="T56:U56"/>
    <mergeCell ref="B58:C58"/>
    <mergeCell ref="D58:E58"/>
    <mergeCell ref="F58:G58"/>
    <mergeCell ref="H58:I58"/>
    <mergeCell ref="J58:K58"/>
    <mergeCell ref="P58:Q58"/>
    <mergeCell ref="R58:S58"/>
    <mergeCell ref="T58:U58"/>
    <mergeCell ref="R10:S10"/>
    <mergeCell ref="T10:U10"/>
    <mergeCell ref="B55:I55"/>
    <mergeCell ref="J55:U55"/>
    <mergeCell ref="B56:C56"/>
    <mergeCell ref="D56:E56"/>
    <mergeCell ref="F56:G56"/>
    <mergeCell ref="H56:I56"/>
    <mergeCell ref="J56:K56"/>
    <mergeCell ref="P56:Q56"/>
    <mergeCell ref="B8:C8"/>
    <mergeCell ref="T9:U9"/>
    <mergeCell ref="B10:C10"/>
    <mergeCell ref="D10:E10"/>
    <mergeCell ref="F10:G10"/>
    <mergeCell ref="H10:I10"/>
    <mergeCell ref="J10:K10"/>
    <mergeCell ref="L10:M10"/>
    <mergeCell ref="N10:O10"/>
    <mergeCell ref="P10:Q10"/>
    <mergeCell ref="L7:M7"/>
    <mergeCell ref="T8:U8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7:U7"/>
    <mergeCell ref="N8:O8"/>
    <mergeCell ref="P8:Q8"/>
    <mergeCell ref="D8:E8"/>
    <mergeCell ref="F8:G8"/>
    <mergeCell ref="H8:I8"/>
    <mergeCell ref="J8:K8"/>
    <mergeCell ref="L8:M8"/>
    <mergeCell ref="J7:K7"/>
    <mergeCell ref="B6:C6"/>
    <mergeCell ref="D6:E6"/>
    <mergeCell ref="F6:G6"/>
    <mergeCell ref="H6:I6"/>
    <mergeCell ref="R8:S8"/>
    <mergeCell ref="T6:U6"/>
    <mergeCell ref="B7:C7"/>
    <mergeCell ref="D7:E7"/>
    <mergeCell ref="F7:G7"/>
    <mergeCell ref="H7:I7"/>
    <mergeCell ref="P6:Q6"/>
    <mergeCell ref="P5:Q5"/>
    <mergeCell ref="N5:O5"/>
    <mergeCell ref="T3:U3"/>
    <mergeCell ref="R7:S7"/>
    <mergeCell ref="R5:S5"/>
    <mergeCell ref="T5:U5"/>
    <mergeCell ref="N7:O7"/>
    <mergeCell ref="P7:Q7"/>
    <mergeCell ref="F3:G3"/>
    <mergeCell ref="H3:I3"/>
    <mergeCell ref="N3:O3"/>
    <mergeCell ref="F5:G5"/>
    <mergeCell ref="H5:I5"/>
    <mergeCell ref="R6:S6"/>
    <mergeCell ref="P3:Q3"/>
    <mergeCell ref="R3:S3"/>
    <mergeCell ref="J6:K6"/>
    <mergeCell ref="N6:O6"/>
    <mergeCell ref="B5:C5"/>
    <mergeCell ref="D5:E5"/>
    <mergeCell ref="J3:K3"/>
    <mergeCell ref="L3:M3"/>
    <mergeCell ref="J5:K5"/>
    <mergeCell ref="A1:U1"/>
    <mergeCell ref="B2:I2"/>
    <mergeCell ref="J2:U2"/>
    <mergeCell ref="B3:C3"/>
    <mergeCell ref="D3:E3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6"/>
  <sheetViews>
    <sheetView zoomScale="90" zoomScaleNormal="90" workbookViewId="0">
      <pane xSplit="1" ySplit="12" topLeftCell="B19" activePane="bottomRight" state="frozen"/>
      <selection pane="topRight" activeCell="B1" sqref="B1"/>
      <selection pane="bottomLeft" activeCell="A13" sqref="A13"/>
      <selection pane="bottomRight" activeCell="F24" sqref="F24"/>
    </sheetView>
  </sheetViews>
  <sheetFormatPr defaultColWidth="9" defaultRowHeight="14.25" x14ac:dyDescent="0.15"/>
  <cols>
    <col min="1" max="1" width="22.875" customWidth="1"/>
    <col min="2" max="7" width="8.25" customWidth="1"/>
    <col min="8" max="9" width="7.5" customWidth="1"/>
    <col min="10" max="11" width="6.75" customWidth="1"/>
    <col min="12" max="12" width="7.625" customWidth="1"/>
    <col min="13" max="13" width="6.875" customWidth="1"/>
    <col min="14" max="21" width="8.125" customWidth="1"/>
  </cols>
  <sheetData>
    <row r="1" spans="1:21" ht="24.75" customHeight="1" x14ac:dyDescent="0.15">
      <c r="A1" s="132" t="s">
        <v>86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1" ht="14.1" customHeight="1" x14ac:dyDescent="0.15">
      <c r="A2" s="24" t="s">
        <v>68</v>
      </c>
      <c r="B2" s="139" t="s">
        <v>66</v>
      </c>
      <c r="C2" s="140"/>
      <c r="D2" s="140"/>
      <c r="E2" s="140"/>
      <c r="F2" s="140"/>
      <c r="G2" s="140"/>
      <c r="H2" s="140"/>
      <c r="I2" s="141"/>
      <c r="J2" s="135" t="s">
        <v>67</v>
      </c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6"/>
    </row>
    <row r="3" spans="1:21" ht="14.1" customHeight="1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28">
        <v>0.8</v>
      </c>
      <c r="I3" s="129"/>
      <c r="J3" s="130">
        <v>0.8</v>
      </c>
      <c r="K3" s="131"/>
      <c r="L3" s="130">
        <v>0.8</v>
      </c>
      <c r="M3" s="131"/>
      <c r="N3" s="130">
        <v>0.8</v>
      </c>
      <c r="O3" s="131"/>
      <c r="P3" s="130">
        <v>0.8</v>
      </c>
      <c r="Q3" s="131"/>
      <c r="R3" s="130">
        <v>0.8</v>
      </c>
      <c r="S3" s="131"/>
      <c r="T3" s="130">
        <v>0.8</v>
      </c>
      <c r="U3" s="131"/>
    </row>
    <row r="4" spans="1:21" ht="14.1" customHeight="1" x14ac:dyDescent="0.15">
      <c r="A4" s="24" t="s">
        <v>59</v>
      </c>
      <c r="B4" s="17"/>
      <c r="C4" s="18"/>
      <c r="D4" s="17"/>
      <c r="E4" s="18"/>
      <c r="F4" s="17"/>
      <c r="G4" s="18"/>
      <c r="H4" s="53"/>
      <c r="I4" s="53"/>
      <c r="J4" s="20"/>
      <c r="K4" s="21"/>
      <c r="L4" s="20"/>
      <c r="M4" s="21"/>
      <c r="N4" s="20"/>
      <c r="O4" s="21"/>
      <c r="P4" s="20"/>
      <c r="Q4" s="21"/>
      <c r="R4" s="20"/>
      <c r="S4" s="21"/>
      <c r="T4" s="20"/>
      <c r="U4" s="21"/>
    </row>
    <row r="5" spans="1:21" ht="14.1" customHeight="1" x14ac:dyDescent="0.15">
      <c r="A5" s="24" t="s">
        <v>104</v>
      </c>
      <c r="B5" s="128">
        <v>380</v>
      </c>
      <c r="C5" s="129"/>
      <c r="D5" s="137">
        <v>400</v>
      </c>
      <c r="E5" s="137"/>
      <c r="F5" s="128">
        <v>415</v>
      </c>
      <c r="G5" s="129"/>
      <c r="H5" s="128">
        <v>440</v>
      </c>
      <c r="I5" s="129"/>
      <c r="J5" s="130" t="s">
        <v>48</v>
      </c>
      <c r="K5" s="131"/>
      <c r="L5" s="20"/>
      <c r="M5" s="21"/>
      <c r="N5" s="126">
        <v>416</v>
      </c>
      <c r="O5" s="127"/>
      <c r="P5" s="130">
        <v>440</v>
      </c>
      <c r="Q5" s="131"/>
      <c r="R5" s="130">
        <v>460</v>
      </c>
      <c r="S5" s="131"/>
      <c r="T5" s="130">
        <v>480</v>
      </c>
      <c r="U5" s="131"/>
    </row>
    <row r="6" spans="1:21" ht="14.1" customHeight="1" x14ac:dyDescent="0.15">
      <c r="A6" s="24" t="s">
        <v>105</v>
      </c>
      <c r="B6" s="128">
        <v>220</v>
      </c>
      <c r="C6" s="129"/>
      <c r="D6" s="128">
        <v>230</v>
      </c>
      <c r="E6" s="129"/>
      <c r="F6" s="128">
        <v>240</v>
      </c>
      <c r="G6" s="129"/>
      <c r="H6" s="128">
        <v>254</v>
      </c>
      <c r="I6" s="129"/>
      <c r="J6" s="130" t="s">
        <v>50</v>
      </c>
      <c r="K6" s="131"/>
      <c r="L6" s="20"/>
      <c r="M6" s="21"/>
      <c r="N6" s="126">
        <v>240</v>
      </c>
      <c r="O6" s="127"/>
      <c r="P6" s="126">
        <v>254</v>
      </c>
      <c r="Q6" s="127"/>
      <c r="R6" s="126">
        <v>266</v>
      </c>
      <c r="S6" s="127"/>
      <c r="T6" s="126">
        <v>277</v>
      </c>
      <c r="U6" s="127"/>
    </row>
    <row r="7" spans="1:21" ht="14.1" customHeight="1" x14ac:dyDescent="0.15">
      <c r="A7" s="24" t="s">
        <v>106</v>
      </c>
      <c r="B7" s="128">
        <v>380</v>
      </c>
      <c r="C7" s="129"/>
      <c r="D7" s="137">
        <v>400</v>
      </c>
      <c r="E7" s="137"/>
      <c r="F7" s="128">
        <v>415</v>
      </c>
      <c r="G7" s="129"/>
      <c r="H7" s="128">
        <v>440</v>
      </c>
      <c r="I7" s="129"/>
      <c r="J7" s="135" t="s">
        <v>53</v>
      </c>
      <c r="K7" s="136"/>
      <c r="L7" s="130" t="s">
        <v>48</v>
      </c>
      <c r="M7" s="131"/>
      <c r="N7" s="126">
        <v>416</v>
      </c>
      <c r="O7" s="127"/>
      <c r="P7" s="130">
        <v>440</v>
      </c>
      <c r="Q7" s="131"/>
      <c r="R7" s="130">
        <v>460</v>
      </c>
      <c r="S7" s="131"/>
      <c r="T7" s="130">
        <v>480</v>
      </c>
      <c r="U7" s="131"/>
    </row>
    <row r="8" spans="1:21" ht="14.1" customHeight="1" x14ac:dyDescent="0.15">
      <c r="A8" s="24" t="s">
        <v>107</v>
      </c>
      <c r="B8" s="128">
        <v>190</v>
      </c>
      <c r="C8" s="129"/>
      <c r="D8" s="128">
        <v>200</v>
      </c>
      <c r="E8" s="129"/>
      <c r="F8" s="128">
        <v>208</v>
      </c>
      <c r="G8" s="129"/>
      <c r="H8" s="128">
        <v>220</v>
      </c>
      <c r="I8" s="129"/>
      <c r="J8" s="130" t="s">
        <v>53</v>
      </c>
      <c r="K8" s="131"/>
      <c r="L8" s="130" t="s">
        <v>49</v>
      </c>
      <c r="M8" s="131"/>
      <c r="N8" s="126">
        <v>208</v>
      </c>
      <c r="O8" s="127"/>
      <c r="P8" s="126">
        <v>220</v>
      </c>
      <c r="Q8" s="127"/>
      <c r="R8" s="126">
        <v>230</v>
      </c>
      <c r="S8" s="127"/>
      <c r="T8" s="126">
        <v>240</v>
      </c>
      <c r="U8" s="127"/>
    </row>
    <row r="9" spans="1:21" ht="14.1" customHeight="1" x14ac:dyDescent="0.15">
      <c r="A9" s="25" t="s">
        <v>62</v>
      </c>
      <c r="B9" s="128">
        <v>220</v>
      </c>
      <c r="C9" s="129"/>
      <c r="D9" s="128">
        <v>230</v>
      </c>
      <c r="E9" s="129"/>
      <c r="F9" s="128">
        <v>240</v>
      </c>
      <c r="G9" s="129"/>
      <c r="H9" s="128">
        <v>254</v>
      </c>
      <c r="I9" s="129"/>
      <c r="J9" s="135" t="s">
        <v>53</v>
      </c>
      <c r="K9" s="136"/>
      <c r="L9" s="130" t="s">
        <v>50</v>
      </c>
      <c r="M9" s="131"/>
      <c r="N9" s="126">
        <v>240</v>
      </c>
      <c r="O9" s="127"/>
      <c r="P9" s="126">
        <v>254</v>
      </c>
      <c r="Q9" s="127"/>
      <c r="R9" s="126">
        <v>266</v>
      </c>
      <c r="S9" s="127"/>
      <c r="T9" s="126">
        <v>277</v>
      </c>
      <c r="U9" s="127"/>
    </row>
    <row r="10" spans="1:21" ht="14.1" customHeight="1" x14ac:dyDescent="0.15">
      <c r="A10" s="68" t="s">
        <v>115</v>
      </c>
      <c r="B10" s="128">
        <f>B9/2</f>
        <v>110</v>
      </c>
      <c r="C10" s="129"/>
      <c r="D10" s="128">
        <f>D9/2</f>
        <v>115</v>
      </c>
      <c r="E10" s="129"/>
      <c r="F10" s="128">
        <f>F9/2</f>
        <v>120</v>
      </c>
      <c r="G10" s="129"/>
      <c r="H10" s="128">
        <f>H9/2</f>
        <v>127</v>
      </c>
      <c r="I10" s="129"/>
      <c r="J10" s="66"/>
      <c r="K10" s="67"/>
      <c r="L10" s="130" t="s">
        <v>116</v>
      </c>
      <c r="M10" s="131"/>
      <c r="N10" s="126">
        <f>N9/2</f>
        <v>120</v>
      </c>
      <c r="O10" s="127"/>
      <c r="P10" s="126">
        <f>P9/2</f>
        <v>127</v>
      </c>
      <c r="Q10" s="127"/>
      <c r="R10" s="126">
        <f>R9/2</f>
        <v>133</v>
      </c>
      <c r="S10" s="127"/>
      <c r="T10" s="126">
        <f>T9/2</f>
        <v>138.5</v>
      </c>
      <c r="U10" s="127"/>
    </row>
    <row r="11" spans="1:21" ht="14.1" customHeight="1" x14ac:dyDescent="0.15">
      <c r="A11" s="25" t="s">
        <v>63</v>
      </c>
      <c r="B11" s="128">
        <v>11</v>
      </c>
      <c r="C11" s="129"/>
      <c r="D11" s="128">
        <v>11</v>
      </c>
      <c r="E11" s="129"/>
      <c r="F11" s="128">
        <v>11</v>
      </c>
      <c r="G11" s="129"/>
      <c r="H11" s="128">
        <v>11</v>
      </c>
      <c r="I11" s="129"/>
      <c r="J11" s="130">
        <v>13</v>
      </c>
      <c r="K11" s="131"/>
      <c r="L11" s="130">
        <v>14</v>
      </c>
      <c r="M11" s="131"/>
      <c r="N11" s="126">
        <v>11</v>
      </c>
      <c r="O11" s="127"/>
      <c r="P11" s="126">
        <v>11</v>
      </c>
      <c r="Q11" s="127"/>
      <c r="R11" s="126">
        <v>11</v>
      </c>
      <c r="S11" s="127"/>
      <c r="T11" s="126">
        <v>11</v>
      </c>
      <c r="U11" s="127"/>
    </row>
    <row r="12" spans="1:21" ht="14.1" customHeight="1" x14ac:dyDescent="0.15">
      <c r="A12" s="36" t="s">
        <v>64</v>
      </c>
      <c r="B12" s="19" t="s">
        <v>0</v>
      </c>
      <c r="C12" s="19" t="s">
        <v>1</v>
      </c>
      <c r="D12" s="19" t="s">
        <v>0</v>
      </c>
      <c r="E12" s="19" t="s">
        <v>1</v>
      </c>
      <c r="F12" s="19" t="s">
        <v>0</v>
      </c>
      <c r="G12" s="19" t="s">
        <v>1</v>
      </c>
      <c r="H12" s="19" t="s">
        <v>0</v>
      </c>
      <c r="I12" s="19" t="s">
        <v>1</v>
      </c>
      <c r="J12" s="22" t="s">
        <v>51</v>
      </c>
      <c r="K12" s="23" t="s">
        <v>52</v>
      </c>
      <c r="L12" s="22" t="s">
        <v>51</v>
      </c>
      <c r="M12" s="23" t="s">
        <v>52</v>
      </c>
      <c r="N12" s="23" t="s">
        <v>0</v>
      </c>
      <c r="O12" s="23" t="s">
        <v>1</v>
      </c>
      <c r="P12" s="23" t="s">
        <v>0</v>
      </c>
      <c r="Q12" s="23" t="s">
        <v>1</v>
      </c>
      <c r="R12" s="23" t="s">
        <v>0</v>
      </c>
      <c r="S12" s="23" t="s">
        <v>1</v>
      </c>
      <c r="T12" s="23" t="s">
        <v>0</v>
      </c>
      <c r="U12" s="23" t="s">
        <v>1</v>
      </c>
    </row>
    <row r="13" spans="1:21" ht="13.5" customHeight="1" x14ac:dyDescent="0.15">
      <c r="A13" s="31" t="s">
        <v>2</v>
      </c>
      <c r="B13" s="124" t="s">
        <v>184</v>
      </c>
      <c r="C13" s="124" t="s">
        <v>184</v>
      </c>
      <c r="D13" s="124" t="s">
        <v>184</v>
      </c>
      <c r="E13" s="124" t="s">
        <v>184</v>
      </c>
      <c r="F13" s="124" t="s">
        <v>184</v>
      </c>
      <c r="G13" s="124" t="s">
        <v>184</v>
      </c>
      <c r="H13" s="124" t="s">
        <v>184</v>
      </c>
      <c r="I13" s="124" t="s">
        <v>184</v>
      </c>
      <c r="J13" s="34"/>
      <c r="K13" s="34"/>
      <c r="L13" s="116" t="s">
        <v>184</v>
      </c>
      <c r="M13" s="116" t="s">
        <v>184</v>
      </c>
      <c r="N13" s="125" t="s">
        <v>184</v>
      </c>
      <c r="O13" s="125" t="s">
        <v>184</v>
      </c>
      <c r="P13" s="125" t="s">
        <v>184</v>
      </c>
      <c r="Q13" s="125" t="s">
        <v>184</v>
      </c>
      <c r="R13" s="125" t="s">
        <v>184</v>
      </c>
      <c r="S13" s="125" t="s">
        <v>184</v>
      </c>
      <c r="T13" s="125" t="s">
        <v>184</v>
      </c>
      <c r="U13" s="125" t="s">
        <v>184</v>
      </c>
    </row>
    <row r="14" spans="1:21" ht="13.5" customHeight="1" x14ac:dyDescent="0.15">
      <c r="A14" s="31" t="s">
        <v>3</v>
      </c>
      <c r="B14" s="124" t="s">
        <v>184</v>
      </c>
      <c r="C14" s="124" t="s">
        <v>184</v>
      </c>
      <c r="D14" s="124" t="s">
        <v>184</v>
      </c>
      <c r="E14" s="124" t="s">
        <v>184</v>
      </c>
      <c r="F14" s="124" t="s">
        <v>184</v>
      </c>
      <c r="G14" s="124" t="s">
        <v>184</v>
      </c>
      <c r="H14" s="124" t="s">
        <v>184</v>
      </c>
      <c r="I14" s="124" t="s">
        <v>184</v>
      </c>
      <c r="J14" s="98"/>
      <c r="K14" s="34"/>
      <c r="L14" s="116" t="s">
        <v>184</v>
      </c>
      <c r="M14" s="116" t="s">
        <v>184</v>
      </c>
      <c r="N14" s="125" t="s">
        <v>184</v>
      </c>
      <c r="O14" s="125" t="s">
        <v>184</v>
      </c>
      <c r="P14" s="125" t="s">
        <v>184</v>
      </c>
      <c r="Q14" s="125" t="s">
        <v>184</v>
      </c>
      <c r="R14" s="125" t="s">
        <v>184</v>
      </c>
      <c r="S14" s="125" t="s">
        <v>184</v>
      </c>
      <c r="T14" s="125" t="s">
        <v>184</v>
      </c>
      <c r="U14" s="125" t="s">
        <v>184</v>
      </c>
    </row>
    <row r="15" spans="1:21" ht="13.5" customHeight="1" x14ac:dyDescent="0.15">
      <c r="A15" s="31" t="s">
        <v>4</v>
      </c>
      <c r="B15" s="124" t="s">
        <v>184</v>
      </c>
      <c r="C15" s="124" t="s">
        <v>184</v>
      </c>
      <c r="D15" s="124" t="s">
        <v>184</v>
      </c>
      <c r="E15" s="124" t="s">
        <v>184</v>
      </c>
      <c r="F15" s="124" t="s">
        <v>184</v>
      </c>
      <c r="G15" s="124" t="s">
        <v>184</v>
      </c>
      <c r="H15" s="124" t="s">
        <v>184</v>
      </c>
      <c r="I15" s="124" t="s">
        <v>184</v>
      </c>
      <c r="J15" s="34"/>
      <c r="K15" s="34"/>
      <c r="L15" s="116" t="s">
        <v>184</v>
      </c>
      <c r="M15" s="116" t="s">
        <v>184</v>
      </c>
      <c r="N15" s="125" t="s">
        <v>184</v>
      </c>
      <c r="O15" s="125" t="s">
        <v>184</v>
      </c>
      <c r="P15" s="125" t="s">
        <v>184</v>
      </c>
      <c r="Q15" s="125" t="s">
        <v>184</v>
      </c>
      <c r="R15" s="125" t="s">
        <v>184</v>
      </c>
      <c r="S15" s="125" t="s">
        <v>184</v>
      </c>
      <c r="T15" s="125" t="s">
        <v>184</v>
      </c>
      <c r="U15" s="125" t="s">
        <v>184</v>
      </c>
    </row>
    <row r="16" spans="1:21" ht="13.5" customHeight="1" x14ac:dyDescent="0.15">
      <c r="A16" s="31" t="s">
        <v>5</v>
      </c>
      <c r="B16" s="124" t="s">
        <v>184</v>
      </c>
      <c r="C16" s="124" t="s">
        <v>184</v>
      </c>
      <c r="D16" s="124" t="s">
        <v>184</v>
      </c>
      <c r="E16" s="124" t="s">
        <v>184</v>
      </c>
      <c r="F16" s="124" t="s">
        <v>184</v>
      </c>
      <c r="G16" s="124" t="s">
        <v>184</v>
      </c>
      <c r="H16" s="124" t="s">
        <v>184</v>
      </c>
      <c r="I16" s="124" t="s">
        <v>184</v>
      </c>
      <c r="J16" s="34"/>
      <c r="K16" s="34"/>
      <c r="L16" s="116" t="s">
        <v>184</v>
      </c>
      <c r="M16" s="116" t="s">
        <v>184</v>
      </c>
      <c r="N16" s="125" t="s">
        <v>184</v>
      </c>
      <c r="O16" s="125" t="s">
        <v>184</v>
      </c>
      <c r="P16" s="125" t="s">
        <v>184</v>
      </c>
      <c r="Q16" s="125" t="s">
        <v>184</v>
      </c>
      <c r="R16" s="125" t="s">
        <v>184</v>
      </c>
      <c r="S16" s="125" t="s">
        <v>184</v>
      </c>
      <c r="T16" s="125" t="s">
        <v>184</v>
      </c>
      <c r="U16" s="125" t="s">
        <v>184</v>
      </c>
    </row>
    <row r="17" spans="1:21" ht="13.5" customHeight="1" x14ac:dyDescent="0.15">
      <c r="A17" s="31"/>
      <c r="B17" s="40"/>
      <c r="C17" s="40"/>
      <c r="D17" s="40"/>
      <c r="E17" s="40"/>
      <c r="F17" s="40"/>
      <c r="G17" s="40"/>
      <c r="H17" s="40"/>
      <c r="I17" s="40"/>
      <c r="J17" s="34"/>
      <c r="K17" s="34"/>
      <c r="L17" s="47"/>
      <c r="M17" s="47"/>
      <c r="N17" s="100"/>
      <c r="O17" s="27"/>
      <c r="P17" s="27"/>
      <c r="Q17" s="27"/>
      <c r="R17" s="27"/>
      <c r="S17" s="27"/>
      <c r="T17" s="27"/>
      <c r="U17" s="27"/>
    </row>
    <row r="18" spans="1:21" ht="13.5" customHeight="1" x14ac:dyDescent="0.15">
      <c r="A18" s="31" t="s">
        <v>6</v>
      </c>
      <c r="B18" s="124" t="s">
        <v>189</v>
      </c>
      <c r="C18" s="124" t="s">
        <v>184</v>
      </c>
      <c r="D18" s="124" t="s">
        <v>189</v>
      </c>
      <c r="E18" s="124" t="s">
        <v>184</v>
      </c>
      <c r="F18" s="124" t="s">
        <v>189</v>
      </c>
      <c r="G18" s="124" t="s">
        <v>184</v>
      </c>
      <c r="H18" s="124" t="s">
        <v>189</v>
      </c>
      <c r="I18" s="124" t="s">
        <v>184</v>
      </c>
      <c r="J18" s="34"/>
      <c r="K18" s="34"/>
      <c r="L18" s="116" t="s">
        <v>184</v>
      </c>
      <c r="M18" s="116" t="s">
        <v>184</v>
      </c>
      <c r="N18" s="125" t="s">
        <v>184</v>
      </c>
      <c r="O18" s="125" t="s">
        <v>184</v>
      </c>
      <c r="P18" s="125" t="s">
        <v>184</v>
      </c>
      <c r="Q18" s="125" t="s">
        <v>184</v>
      </c>
      <c r="R18" s="125" t="s">
        <v>184</v>
      </c>
      <c r="S18" s="125" t="s">
        <v>184</v>
      </c>
      <c r="T18" s="125" t="s">
        <v>184</v>
      </c>
      <c r="U18" s="125" t="s">
        <v>184</v>
      </c>
    </row>
    <row r="19" spans="1:21" ht="13.5" customHeight="1" x14ac:dyDescent="0.15">
      <c r="A19" s="31" t="s">
        <v>7</v>
      </c>
      <c r="B19" s="124" t="s">
        <v>189</v>
      </c>
      <c r="C19" s="124" t="s">
        <v>184</v>
      </c>
      <c r="D19" s="124" t="s">
        <v>189</v>
      </c>
      <c r="E19" s="124" t="s">
        <v>184</v>
      </c>
      <c r="F19" s="124" t="s">
        <v>189</v>
      </c>
      <c r="G19" s="124" t="s">
        <v>184</v>
      </c>
      <c r="H19" s="124" t="s">
        <v>189</v>
      </c>
      <c r="I19" s="124" t="s">
        <v>184</v>
      </c>
      <c r="J19" s="34"/>
      <c r="K19" s="34"/>
      <c r="L19" s="116" t="s">
        <v>184</v>
      </c>
      <c r="M19" s="116" t="s">
        <v>184</v>
      </c>
      <c r="N19" s="125" t="s">
        <v>184</v>
      </c>
      <c r="O19" s="125" t="s">
        <v>184</v>
      </c>
      <c r="P19" s="125" t="s">
        <v>184</v>
      </c>
      <c r="Q19" s="125" t="s">
        <v>184</v>
      </c>
      <c r="R19" s="125" t="s">
        <v>184</v>
      </c>
      <c r="S19" s="125" t="s">
        <v>184</v>
      </c>
      <c r="T19" s="125" t="s">
        <v>184</v>
      </c>
      <c r="U19" s="125" t="s">
        <v>184</v>
      </c>
    </row>
    <row r="20" spans="1:21" ht="13.5" customHeight="1" x14ac:dyDescent="0.15">
      <c r="A20" s="31" t="s">
        <v>8</v>
      </c>
      <c r="B20" s="40">
        <v>29</v>
      </c>
      <c r="C20" s="40">
        <f>B20*0.8</f>
        <v>23.200000000000003</v>
      </c>
      <c r="D20" s="40">
        <v>29</v>
      </c>
      <c r="E20" s="40">
        <f>D20*0.8</f>
        <v>23.200000000000003</v>
      </c>
      <c r="F20" s="40">
        <v>29</v>
      </c>
      <c r="G20" s="40">
        <f>F20*0.8</f>
        <v>23.200000000000003</v>
      </c>
      <c r="H20" s="40">
        <v>23.7</v>
      </c>
      <c r="I20" s="40">
        <f>H20*0.8</f>
        <v>18.96</v>
      </c>
      <c r="J20" s="34"/>
      <c r="K20" s="34"/>
      <c r="L20" s="99">
        <f>'4P 3PH rating '!L20*1.03</f>
        <v>33.475000000000001</v>
      </c>
      <c r="M20" s="99">
        <f>L20*0.8</f>
        <v>26.78</v>
      </c>
      <c r="N20" s="41">
        <v>33.799999999999997</v>
      </c>
      <c r="O20" s="41">
        <f>N20*0.8</f>
        <v>27.04</v>
      </c>
      <c r="P20" s="41">
        <v>35</v>
      </c>
      <c r="Q20" s="41">
        <f>P20*0.8</f>
        <v>28</v>
      </c>
      <c r="R20" s="41">
        <v>35</v>
      </c>
      <c r="S20" s="41">
        <f>R20*0.8</f>
        <v>28</v>
      </c>
      <c r="T20" s="41">
        <v>37.5</v>
      </c>
      <c r="U20" s="41">
        <f>T20*0.8</f>
        <v>30</v>
      </c>
    </row>
    <row r="21" spans="1:21" ht="13.5" customHeight="1" x14ac:dyDescent="0.15">
      <c r="A21" s="31" t="s">
        <v>9</v>
      </c>
      <c r="B21" s="40">
        <v>32.5</v>
      </c>
      <c r="C21" s="40">
        <f>B21*0.8</f>
        <v>26</v>
      </c>
      <c r="D21" s="40">
        <v>32.5</v>
      </c>
      <c r="E21" s="40">
        <f t="shared" ref="E21:E39" si="0">D21*0.8</f>
        <v>26</v>
      </c>
      <c r="F21" s="40">
        <v>32.5</v>
      </c>
      <c r="G21" s="40">
        <f t="shared" ref="G21:G54" si="1">F21*0.8</f>
        <v>26</v>
      </c>
      <c r="H21" s="40">
        <v>28.6</v>
      </c>
      <c r="I21" s="40">
        <f t="shared" ref="I21:I54" si="2">H21*0.8</f>
        <v>22.880000000000003</v>
      </c>
      <c r="J21" s="34"/>
      <c r="K21" s="34"/>
      <c r="L21" s="99">
        <f>'4P 3PH rating '!L21*1.03</f>
        <v>38.625</v>
      </c>
      <c r="M21" s="99">
        <f>L21*0.8</f>
        <v>30.900000000000002</v>
      </c>
      <c r="N21" s="41">
        <v>36.299999999999997</v>
      </c>
      <c r="O21" s="41">
        <f t="shared" ref="O21:O54" si="3">N21*0.8</f>
        <v>29.04</v>
      </c>
      <c r="P21" s="41">
        <v>38.799999999999997</v>
      </c>
      <c r="Q21" s="41">
        <f t="shared" ref="Q21:Q54" si="4">P21*0.8</f>
        <v>31.04</v>
      </c>
      <c r="R21" s="41">
        <v>38.799999999999997</v>
      </c>
      <c r="S21" s="41">
        <f>R21*0.8</f>
        <v>31.04</v>
      </c>
      <c r="T21" s="41">
        <v>38.799999999999997</v>
      </c>
      <c r="U21" s="41">
        <f t="shared" ref="U21:U54" si="5">T21*0.8</f>
        <v>31.04</v>
      </c>
    </row>
    <row r="22" spans="1:21" ht="13.5" customHeight="1" x14ac:dyDescent="0.15">
      <c r="A22" s="31" t="s">
        <v>10</v>
      </c>
      <c r="B22" s="40">
        <v>39</v>
      </c>
      <c r="C22" s="40">
        <f>B22*0.8</f>
        <v>31.200000000000003</v>
      </c>
      <c r="D22" s="40">
        <v>39</v>
      </c>
      <c r="E22" s="40">
        <f t="shared" si="0"/>
        <v>31.200000000000003</v>
      </c>
      <c r="F22" s="40">
        <v>39</v>
      </c>
      <c r="G22" s="40">
        <f t="shared" si="1"/>
        <v>31.200000000000003</v>
      </c>
      <c r="H22" s="40">
        <v>33.799999999999997</v>
      </c>
      <c r="I22" s="40">
        <f t="shared" si="2"/>
        <v>27.04</v>
      </c>
      <c r="J22" s="34"/>
      <c r="K22" s="34"/>
      <c r="L22" s="99">
        <f>'4P 3PH rating '!L22*1.03</f>
        <v>44.805</v>
      </c>
      <c r="M22" s="99">
        <f>L22*0.8</f>
        <v>35.844000000000001</v>
      </c>
      <c r="N22" s="41">
        <v>45.9</v>
      </c>
      <c r="O22" s="41">
        <f t="shared" si="3"/>
        <v>36.72</v>
      </c>
      <c r="P22" s="41">
        <v>48.5</v>
      </c>
      <c r="Q22" s="41">
        <f t="shared" si="4"/>
        <v>38.800000000000004</v>
      </c>
      <c r="R22" s="41">
        <v>48.5</v>
      </c>
      <c r="S22" s="41">
        <f>R22*0.8</f>
        <v>38.800000000000004</v>
      </c>
      <c r="T22" s="41">
        <v>48.5</v>
      </c>
      <c r="U22" s="41">
        <f t="shared" si="5"/>
        <v>38.800000000000004</v>
      </c>
    </row>
    <row r="23" spans="1:21" ht="13.5" customHeight="1" x14ac:dyDescent="0.15">
      <c r="A23" s="31" t="s">
        <v>11</v>
      </c>
      <c r="B23" s="40">
        <v>41.5</v>
      </c>
      <c r="C23" s="40">
        <f>B23*0.8</f>
        <v>33.200000000000003</v>
      </c>
      <c r="D23" s="40">
        <v>44</v>
      </c>
      <c r="E23" s="40">
        <f t="shared" si="0"/>
        <v>35.200000000000003</v>
      </c>
      <c r="F23" s="40">
        <v>41.5</v>
      </c>
      <c r="G23" s="40">
        <f t="shared" si="1"/>
        <v>33.200000000000003</v>
      </c>
      <c r="H23" s="40">
        <v>36.299999999999997</v>
      </c>
      <c r="I23" s="40">
        <f t="shared" si="2"/>
        <v>29.04</v>
      </c>
      <c r="J23" s="34"/>
      <c r="K23" s="34"/>
      <c r="L23" s="99">
        <f>'4P 3PH rating '!L23*1.03</f>
        <v>48.925000000000004</v>
      </c>
      <c r="M23" s="99">
        <f>L23*0.8</f>
        <v>39.140000000000008</v>
      </c>
      <c r="N23" s="41">
        <v>49.2</v>
      </c>
      <c r="O23" s="41">
        <f t="shared" si="3"/>
        <v>39.360000000000007</v>
      </c>
      <c r="P23" s="41">
        <v>52</v>
      </c>
      <c r="Q23" s="41">
        <f t="shared" si="4"/>
        <v>41.6</v>
      </c>
      <c r="R23" s="41">
        <v>52</v>
      </c>
      <c r="S23" s="41">
        <f>R23*0.8</f>
        <v>41.6</v>
      </c>
      <c r="T23" s="41">
        <v>52</v>
      </c>
      <c r="U23" s="41">
        <f t="shared" si="5"/>
        <v>41.6</v>
      </c>
    </row>
    <row r="24" spans="1:21" ht="13.5" customHeight="1" x14ac:dyDescent="0.15">
      <c r="A24" s="31"/>
      <c r="B24" s="29"/>
      <c r="C24" s="29"/>
      <c r="D24" s="29"/>
      <c r="E24" s="29"/>
      <c r="F24" s="29"/>
      <c r="G24" s="29"/>
      <c r="H24" s="29"/>
      <c r="I24" s="40"/>
      <c r="J24" s="34"/>
      <c r="K24" s="34"/>
      <c r="L24" s="47"/>
      <c r="M24" s="47"/>
      <c r="N24" s="27"/>
      <c r="O24" s="27"/>
      <c r="P24" s="27"/>
      <c r="Q24" s="27"/>
      <c r="R24" s="27"/>
      <c r="S24" s="27"/>
      <c r="T24" s="27"/>
      <c r="U24" s="27"/>
    </row>
    <row r="25" spans="1:21" ht="13.5" customHeight="1" x14ac:dyDescent="0.15">
      <c r="A25" s="31" t="s">
        <v>13</v>
      </c>
      <c r="B25" s="42">
        <v>45</v>
      </c>
      <c r="C25" s="40">
        <f>B25*0.8</f>
        <v>36</v>
      </c>
      <c r="D25" s="42">
        <v>45</v>
      </c>
      <c r="E25" s="40">
        <f t="shared" si="0"/>
        <v>36</v>
      </c>
      <c r="F25" s="42">
        <v>45</v>
      </c>
      <c r="G25" s="40">
        <f t="shared" si="1"/>
        <v>36</v>
      </c>
      <c r="H25" s="42">
        <v>31.7</v>
      </c>
      <c r="I25" s="40">
        <f t="shared" si="2"/>
        <v>25.36</v>
      </c>
      <c r="J25" s="34"/>
      <c r="K25" s="34"/>
      <c r="L25" s="48">
        <v>58.1</v>
      </c>
      <c r="M25" s="48">
        <f>L25*0.8</f>
        <v>46.480000000000004</v>
      </c>
      <c r="N25" s="92">
        <v>53.1</v>
      </c>
      <c r="O25" s="93">
        <f>N25*0.8</f>
        <v>42.480000000000004</v>
      </c>
      <c r="P25" s="93">
        <v>55</v>
      </c>
      <c r="Q25" s="93">
        <f>P25*0.8</f>
        <v>44</v>
      </c>
      <c r="R25" s="92">
        <v>55</v>
      </c>
      <c r="S25" s="93">
        <f>R25*0.8</f>
        <v>44</v>
      </c>
      <c r="T25" s="97">
        <v>58.1</v>
      </c>
      <c r="U25" s="93">
        <f>T25*0.8</f>
        <v>46.480000000000004</v>
      </c>
    </row>
    <row r="26" spans="1:21" ht="13.5" customHeight="1" x14ac:dyDescent="0.15">
      <c r="A26" s="31" t="s">
        <v>14</v>
      </c>
      <c r="B26" s="42">
        <v>53</v>
      </c>
      <c r="C26" s="40">
        <f>B26*0.8</f>
        <v>42.400000000000006</v>
      </c>
      <c r="D26" s="42">
        <v>53</v>
      </c>
      <c r="E26" s="40">
        <f t="shared" si="0"/>
        <v>42.400000000000006</v>
      </c>
      <c r="F26" s="42">
        <v>53</v>
      </c>
      <c r="G26" s="40">
        <f t="shared" si="1"/>
        <v>42.400000000000006</v>
      </c>
      <c r="H26" s="42">
        <v>39.1</v>
      </c>
      <c r="I26" s="40">
        <f t="shared" si="2"/>
        <v>31.28</v>
      </c>
      <c r="J26" s="34"/>
      <c r="K26" s="34"/>
      <c r="L26" s="48">
        <v>65</v>
      </c>
      <c r="M26" s="48">
        <f t="shared" ref="M26:M54" si="6">L26*0.8</f>
        <v>52</v>
      </c>
      <c r="N26" s="92">
        <v>62.5</v>
      </c>
      <c r="O26" s="93">
        <f>N26*0.8</f>
        <v>50</v>
      </c>
      <c r="P26" s="93">
        <v>65</v>
      </c>
      <c r="Q26" s="93">
        <f>P26*0.8</f>
        <v>52</v>
      </c>
      <c r="R26" s="92">
        <v>65</v>
      </c>
      <c r="S26" s="93">
        <f>R26*0.8</f>
        <v>52</v>
      </c>
      <c r="T26" s="97">
        <v>68.8</v>
      </c>
      <c r="U26" s="93">
        <f>T26*0.8</f>
        <v>55.04</v>
      </c>
    </row>
    <row r="27" spans="1:21" ht="13.5" customHeight="1" x14ac:dyDescent="0.15">
      <c r="A27" s="31" t="s">
        <v>15</v>
      </c>
      <c r="B27" s="42">
        <v>61</v>
      </c>
      <c r="C27" s="40">
        <f>B27*0.8</f>
        <v>48.800000000000004</v>
      </c>
      <c r="D27" s="42">
        <v>61</v>
      </c>
      <c r="E27" s="40">
        <f t="shared" si="0"/>
        <v>48.800000000000004</v>
      </c>
      <c r="F27" s="42">
        <v>61</v>
      </c>
      <c r="G27" s="40">
        <f t="shared" si="1"/>
        <v>48.800000000000004</v>
      </c>
      <c r="H27" s="42">
        <v>45.8</v>
      </c>
      <c r="I27" s="40">
        <f t="shared" si="2"/>
        <v>36.64</v>
      </c>
      <c r="J27" s="34"/>
      <c r="K27" s="34"/>
      <c r="L27" s="48">
        <v>73.8</v>
      </c>
      <c r="M27" s="48">
        <f t="shared" si="6"/>
        <v>59.04</v>
      </c>
      <c r="N27" s="92">
        <v>70</v>
      </c>
      <c r="O27" s="93">
        <f>N27*0.8</f>
        <v>56</v>
      </c>
      <c r="P27" s="93">
        <v>73.8</v>
      </c>
      <c r="Q27" s="93">
        <f t="shared" ref="Q27:S29" si="7">P27*0.8</f>
        <v>59.04</v>
      </c>
      <c r="R27" s="92">
        <v>73.8</v>
      </c>
      <c r="S27" s="93">
        <f t="shared" si="7"/>
        <v>59.04</v>
      </c>
      <c r="T27" s="97">
        <v>78.8</v>
      </c>
      <c r="U27" s="93">
        <f>T27*0.8</f>
        <v>63.04</v>
      </c>
    </row>
    <row r="28" spans="1:21" ht="13.5" customHeight="1" x14ac:dyDescent="0.15">
      <c r="A28" s="31" t="s">
        <v>16</v>
      </c>
      <c r="B28" s="42">
        <v>77</v>
      </c>
      <c r="C28" s="40">
        <f>B28*0.8</f>
        <v>61.6</v>
      </c>
      <c r="D28" s="42">
        <v>77</v>
      </c>
      <c r="E28" s="40">
        <f t="shared" si="0"/>
        <v>61.6</v>
      </c>
      <c r="F28" s="42">
        <v>77</v>
      </c>
      <c r="G28" s="40">
        <f t="shared" si="1"/>
        <v>61.6</v>
      </c>
      <c r="H28" s="42">
        <v>58</v>
      </c>
      <c r="I28" s="40">
        <f t="shared" si="2"/>
        <v>46.400000000000006</v>
      </c>
      <c r="J28" s="34"/>
      <c r="K28" s="34"/>
      <c r="L28" s="48">
        <v>89.4</v>
      </c>
      <c r="M28" s="48">
        <f t="shared" si="6"/>
        <v>71.52000000000001</v>
      </c>
      <c r="N28" s="92">
        <v>88.8</v>
      </c>
      <c r="O28" s="93">
        <f>N28*0.8</f>
        <v>71.040000000000006</v>
      </c>
      <c r="P28" s="93">
        <v>92.5</v>
      </c>
      <c r="Q28" s="93">
        <f t="shared" si="7"/>
        <v>74</v>
      </c>
      <c r="R28" s="92">
        <v>92.5</v>
      </c>
      <c r="S28" s="93">
        <f t="shared" si="7"/>
        <v>74</v>
      </c>
      <c r="T28" s="97">
        <v>98.8</v>
      </c>
      <c r="U28" s="93">
        <f>T28*0.8</f>
        <v>79.040000000000006</v>
      </c>
    </row>
    <row r="29" spans="1:21" ht="13.5" customHeight="1" x14ac:dyDescent="0.15">
      <c r="A29" s="31" t="s">
        <v>17</v>
      </c>
      <c r="B29" s="42">
        <v>87.5</v>
      </c>
      <c r="C29" s="40">
        <f>B29*0.8</f>
        <v>70</v>
      </c>
      <c r="D29" s="42">
        <v>87.5</v>
      </c>
      <c r="E29" s="40">
        <f t="shared" si="0"/>
        <v>70</v>
      </c>
      <c r="F29" s="42">
        <v>87.5</v>
      </c>
      <c r="G29" s="40">
        <f t="shared" si="1"/>
        <v>70</v>
      </c>
      <c r="H29" s="42">
        <v>76.900000000000006</v>
      </c>
      <c r="I29" s="40">
        <f t="shared" si="2"/>
        <v>61.52000000000001</v>
      </c>
      <c r="J29" s="34"/>
      <c r="K29" s="34"/>
      <c r="L29" s="48">
        <v>102.5</v>
      </c>
      <c r="M29" s="48">
        <f t="shared" si="6"/>
        <v>82</v>
      </c>
      <c r="N29" s="92">
        <v>98.1</v>
      </c>
      <c r="O29" s="93">
        <f>N29*0.8</f>
        <v>78.48</v>
      </c>
      <c r="P29" s="93">
        <v>102.5</v>
      </c>
      <c r="Q29" s="93">
        <f t="shared" si="7"/>
        <v>82</v>
      </c>
      <c r="R29" s="92">
        <v>102.5</v>
      </c>
      <c r="S29" s="93">
        <f t="shared" si="7"/>
        <v>82</v>
      </c>
      <c r="T29" s="97">
        <v>110</v>
      </c>
      <c r="U29" s="93">
        <f>T29*0.8</f>
        <v>88</v>
      </c>
    </row>
    <row r="30" spans="1:21" ht="13.5" customHeight="1" x14ac:dyDescent="0.15">
      <c r="A30" s="31"/>
      <c r="B30" s="30"/>
      <c r="C30" s="29"/>
      <c r="D30" s="30"/>
      <c r="E30" s="29"/>
      <c r="F30" s="30"/>
      <c r="G30" s="29"/>
      <c r="H30" s="30"/>
      <c r="I30" s="40"/>
      <c r="J30" s="35"/>
      <c r="K30" s="35"/>
      <c r="L30" s="35"/>
      <c r="M30" s="35"/>
      <c r="N30" s="28"/>
      <c r="O30" s="27"/>
      <c r="P30" s="28"/>
      <c r="Q30" s="27"/>
      <c r="R30" s="28"/>
      <c r="S30" s="27"/>
      <c r="T30" s="27"/>
      <c r="U30" s="27"/>
    </row>
    <row r="31" spans="1:21" ht="13.5" customHeight="1" x14ac:dyDescent="0.15">
      <c r="A31" s="31" t="s">
        <v>18</v>
      </c>
      <c r="B31" s="30">
        <v>106</v>
      </c>
      <c r="C31" s="106">
        <f t="shared" ref="C31:C39" si="8">B31*0.8</f>
        <v>84.800000000000011</v>
      </c>
      <c r="D31" s="30">
        <v>106</v>
      </c>
      <c r="E31" s="106">
        <f t="shared" si="0"/>
        <v>84.800000000000011</v>
      </c>
      <c r="F31" s="30">
        <v>106</v>
      </c>
      <c r="G31" s="106">
        <f t="shared" si="1"/>
        <v>84.800000000000011</v>
      </c>
      <c r="H31" s="39" t="s">
        <v>53</v>
      </c>
      <c r="I31" s="39" t="s">
        <v>53</v>
      </c>
      <c r="J31" s="34"/>
      <c r="K31" s="34"/>
      <c r="L31" s="65">
        <v>127</v>
      </c>
      <c r="M31" s="65">
        <f t="shared" si="6"/>
        <v>101.60000000000001</v>
      </c>
      <c r="N31" s="94">
        <v>116.3</v>
      </c>
      <c r="O31" s="95">
        <f t="shared" si="3"/>
        <v>93.04</v>
      </c>
      <c r="P31" s="94">
        <v>125</v>
      </c>
      <c r="Q31" s="95">
        <f t="shared" si="4"/>
        <v>100</v>
      </c>
      <c r="R31" s="94">
        <v>125</v>
      </c>
      <c r="S31" s="95">
        <f t="shared" ref="S31:S39" si="9">R31*0.8</f>
        <v>100</v>
      </c>
      <c r="T31" s="95">
        <v>132.5</v>
      </c>
      <c r="U31" s="95">
        <f t="shared" si="5"/>
        <v>106</v>
      </c>
    </row>
    <row r="32" spans="1:21" ht="13.5" customHeight="1" x14ac:dyDescent="0.15">
      <c r="A32" s="31" t="s">
        <v>38</v>
      </c>
      <c r="B32" s="30">
        <f>C32/0.8</f>
        <v>130</v>
      </c>
      <c r="C32" s="106">
        <v>104</v>
      </c>
      <c r="D32" s="30">
        <f>E32/0.8</f>
        <v>130</v>
      </c>
      <c r="E32" s="106">
        <v>104</v>
      </c>
      <c r="F32" s="30">
        <f>G32/0.8</f>
        <v>130</v>
      </c>
      <c r="G32" s="106">
        <v>104</v>
      </c>
      <c r="H32" s="39" t="s">
        <v>53</v>
      </c>
      <c r="I32" s="39" t="s">
        <v>53</v>
      </c>
      <c r="J32" s="34"/>
      <c r="K32" s="34"/>
      <c r="L32" s="65">
        <v>145</v>
      </c>
      <c r="M32" s="65">
        <f t="shared" si="6"/>
        <v>116</v>
      </c>
      <c r="N32" s="94">
        <v>145</v>
      </c>
      <c r="O32" s="95">
        <f t="shared" si="3"/>
        <v>116</v>
      </c>
      <c r="P32" s="94">
        <v>155</v>
      </c>
      <c r="Q32" s="95">
        <f>P32*0.8</f>
        <v>124</v>
      </c>
      <c r="R32" s="94">
        <v>155</v>
      </c>
      <c r="S32" s="95">
        <f t="shared" si="9"/>
        <v>124</v>
      </c>
      <c r="T32" s="95">
        <v>160</v>
      </c>
      <c r="U32" s="95">
        <f t="shared" si="5"/>
        <v>128</v>
      </c>
    </row>
    <row r="33" spans="1:23" ht="13.5" customHeight="1" x14ac:dyDescent="0.15">
      <c r="A33" s="31" t="s">
        <v>19</v>
      </c>
      <c r="B33" s="30">
        <v>145</v>
      </c>
      <c r="C33" s="29">
        <f t="shared" si="8"/>
        <v>116</v>
      </c>
      <c r="D33" s="30">
        <v>145</v>
      </c>
      <c r="E33" s="29">
        <f t="shared" si="0"/>
        <v>116</v>
      </c>
      <c r="F33" s="30">
        <v>145</v>
      </c>
      <c r="G33" s="29">
        <f t="shared" si="1"/>
        <v>116</v>
      </c>
      <c r="H33" s="39" t="s">
        <v>53</v>
      </c>
      <c r="I33" s="39" t="s">
        <v>53</v>
      </c>
      <c r="J33" s="34"/>
      <c r="K33" s="34"/>
      <c r="L33" s="65">
        <v>170</v>
      </c>
      <c r="M33" s="65">
        <f t="shared" si="6"/>
        <v>136</v>
      </c>
      <c r="N33" s="94">
        <v>170</v>
      </c>
      <c r="O33" s="95">
        <f t="shared" si="3"/>
        <v>136</v>
      </c>
      <c r="P33" s="94">
        <v>175</v>
      </c>
      <c r="Q33" s="95">
        <f t="shared" si="4"/>
        <v>140</v>
      </c>
      <c r="R33" s="94">
        <v>175</v>
      </c>
      <c r="S33" s="95">
        <f t="shared" si="9"/>
        <v>140</v>
      </c>
      <c r="T33" s="95">
        <v>187.5</v>
      </c>
      <c r="U33" s="95">
        <f t="shared" si="5"/>
        <v>150</v>
      </c>
    </row>
    <row r="34" spans="1:23" ht="13.5" customHeight="1" x14ac:dyDescent="0.15">
      <c r="A34" s="31" t="s">
        <v>20</v>
      </c>
      <c r="B34" s="119">
        <f>'4P 3PH rating '!B34*1.03</f>
        <v>154.5</v>
      </c>
      <c r="C34" s="120">
        <f t="shared" si="8"/>
        <v>123.60000000000001</v>
      </c>
      <c r="D34" s="119">
        <f>'4P 3PH rating '!D34*1.03</f>
        <v>154.5</v>
      </c>
      <c r="E34" s="120">
        <f>D34*0.8</f>
        <v>123.60000000000001</v>
      </c>
      <c r="F34" s="119">
        <f>'4P 3PH rating '!F34*1.03</f>
        <v>154.5</v>
      </c>
      <c r="G34" s="120">
        <f t="shared" si="1"/>
        <v>123.60000000000001</v>
      </c>
      <c r="H34" s="39" t="s">
        <v>53</v>
      </c>
      <c r="I34" s="39" t="s">
        <v>53</v>
      </c>
      <c r="J34" s="34"/>
      <c r="K34" s="34"/>
      <c r="L34" s="101">
        <f>'4P 3PH rating '!L34*1.03</f>
        <v>175.1</v>
      </c>
      <c r="M34" s="101">
        <f t="shared" si="6"/>
        <v>140.08000000000001</v>
      </c>
      <c r="N34" s="102">
        <f>'4P 3PH rating '!N34*1.03</f>
        <v>175.1</v>
      </c>
      <c r="O34" s="102">
        <f t="shared" si="3"/>
        <v>140.08000000000001</v>
      </c>
      <c r="P34" s="102">
        <f>'4P 3PH rating '!P34*1.03</f>
        <v>185.4</v>
      </c>
      <c r="Q34" s="102">
        <f t="shared" si="4"/>
        <v>148.32000000000002</v>
      </c>
      <c r="R34" s="102">
        <f>'4P 3PH rating '!R34*1.03</f>
        <v>185.4</v>
      </c>
      <c r="S34" s="102">
        <f t="shared" si="9"/>
        <v>148.32000000000002</v>
      </c>
      <c r="T34" s="102">
        <f>'4P 3PH rating '!T34*1.03</f>
        <v>195.70000000000002</v>
      </c>
      <c r="U34" s="102">
        <f t="shared" si="5"/>
        <v>156.56000000000003</v>
      </c>
    </row>
    <row r="35" spans="1:23" ht="13.5" customHeight="1" x14ac:dyDescent="0.15">
      <c r="A35" s="31" t="s">
        <v>21</v>
      </c>
      <c r="B35" s="30">
        <v>170</v>
      </c>
      <c r="C35" s="29">
        <f t="shared" si="8"/>
        <v>136</v>
      </c>
      <c r="D35" s="30">
        <v>170</v>
      </c>
      <c r="E35" s="29">
        <f t="shared" si="0"/>
        <v>136</v>
      </c>
      <c r="F35" s="30">
        <v>170</v>
      </c>
      <c r="G35" s="29">
        <f t="shared" si="1"/>
        <v>136</v>
      </c>
      <c r="H35" s="39" t="s">
        <v>53</v>
      </c>
      <c r="I35" s="39" t="s">
        <v>53</v>
      </c>
      <c r="J35" s="34"/>
      <c r="K35" s="34"/>
      <c r="L35" s="65">
        <v>186</v>
      </c>
      <c r="M35" s="65">
        <f t="shared" si="6"/>
        <v>148.80000000000001</v>
      </c>
      <c r="N35" s="94">
        <v>187.5</v>
      </c>
      <c r="O35" s="95">
        <f t="shared" si="3"/>
        <v>150</v>
      </c>
      <c r="P35" s="94">
        <v>200</v>
      </c>
      <c r="Q35" s="95">
        <f t="shared" si="4"/>
        <v>160</v>
      </c>
      <c r="R35" s="94">
        <v>200</v>
      </c>
      <c r="S35" s="95">
        <f t="shared" si="9"/>
        <v>160</v>
      </c>
      <c r="T35" s="95">
        <v>212.5</v>
      </c>
      <c r="U35" s="95">
        <f t="shared" si="5"/>
        <v>170</v>
      </c>
    </row>
    <row r="36" spans="1:23" ht="13.5" customHeight="1" x14ac:dyDescent="0.15">
      <c r="A36" s="31" t="s">
        <v>22</v>
      </c>
      <c r="B36" s="30">
        <v>187</v>
      </c>
      <c r="C36" s="106">
        <f t="shared" si="8"/>
        <v>149.6</v>
      </c>
      <c r="D36" s="30">
        <v>187</v>
      </c>
      <c r="E36" s="106">
        <f t="shared" si="0"/>
        <v>149.6</v>
      </c>
      <c r="F36" s="30">
        <v>187</v>
      </c>
      <c r="G36" s="106">
        <f t="shared" si="1"/>
        <v>149.6</v>
      </c>
      <c r="H36" s="39" t="s">
        <v>53</v>
      </c>
      <c r="I36" s="39" t="s">
        <v>53</v>
      </c>
      <c r="J36" s="34"/>
      <c r="K36" s="34"/>
      <c r="L36" s="65">
        <v>207.5</v>
      </c>
      <c r="M36" s="65">
        <f t="shared" si="6"/>
        <v>166</v>
      </c>
      <c r="N36" s="94">
        <v>213</v>
      </c>
      <c r="O36" s="95">
        <f t="shared" si="3"/>
        <v>170.4</v>
      </c>
      <c r="P36" s="94">
        <v>228.8</v>
      </c>
      <c r="Q36" s="95">
        <f t="shared" si="4"/>
        <v>183.04000000000002</v>
      </c>
      <c r="R36" s="94">
        <v>228.8</v>
      </c>
      <c r="S36" s="95">
        <f t="shared" si="9"/>
        <v>183.04000000000002</v>
      </c>
      <c r="T36" s="95">
        <v>246.8</v>
      </c>
      <c r="U36" s="95">
        <f t="shared" si="5"/>
        <v>197.44000000000003</v>
      </c>
    </row>
    <row r="37" spans="1:23" ht="13.5" customHeight="1" x14ac:dyDescent="0.15">
      <c r="A37" s="31" t="s">
        <v>23</v>
      </c>
      <c r="B37" s="30">
        <v>212</v>
      </c>
      <c r="C37" s="106">
        <f t="shared" si="8"/>
        <v>169.60000000000002</v>
      </c>
      <c r="D37" s="30">
        <v>212</v>
      </c>
      <c r="E37" s="106">
        <f t="shared" si="0"/>
        <v>169.60000000000002</v>
      </c>
      <c r="F37" s="30">
        <v>212</v>
      </c>
      <c r="G37" s="106">
        <f t="shared" si="1"/>
        <v>169.60000000000002</v>
      </c>
      <c r="H37" s="39" t="s">
        <v>53</v>
      </c>
      <c r="I37" s="39" t="s">
        <v>53</v>
      </c>
      <c r="J37" s="34"/>
      <c r="K37" s="34"/>
      <c r="L37" s="65">
        <v>250</v>
      </c>
      <c r="M37" s="65">
        <f t="shared" si="6"/>
        <v>200</v>
      </c>
      <c r="N37" s="94">
        <v>250</v>
      </c>
      <c r="O37" s="95">
        <f t="shared" si="3"/>
        <v>200</v>
      </c>
      <c r="P37" s="94">
        <v>258.8</v>
      </c>
      <c r="Q37" s="95">
        <f t="shared" si="4"/>
        <v>207.04000000000002</v>
      </c>
      <c r="R37" s="94">
        <v>258.8</v>
      </c>
      <c r="S37" s="95">
        <f t="shared" si="9"/>
        <v>207.04000000000002</v>
      </c>
      <c r="T37" s="95">
        <v>275</v>
      </c>
      <c r="U37" s="95">
        <f t="shared" si="5"/>
        <v>220</v>
      </c>
    </row>
    <row r="38" spans="1:23" ht="13.5" customHeight="1" x14ac:dyDescent="0.15">
      <c r="A38" s="31" t="s">
        <v>24</v>
      </c>
      <c r="B38" s="30">
        <v>250</v>
      </c>
      <c r="C38" s="29">
        <f t="shared" si="8"/>
        <v>200</v>
      </c>
      <c r="D38" s="30">
        <v>250</v>
      </c>
      <c r="E38" s="29">
        <f t="shared" si="0"/>
        <v>200</v>
      </c>
      <c r="F38" s="30">
        <v>250</v>
      </c>
      <c r="G38" s="29">
        <f t="shared" si="1"/>
        <v>200</v>
      </c>
      <c r="H38" s="39" t="s">
        <v>53</v>
      </c>
      <c r="I38" s="39" t="s">
        <v>53</v>
      </c>
      <c r="J38" s="34"/>
      <c r="K38" s="34"/>
      <c r="L38" s="101">
        <v>292</v>
      </c>
      <c r="M38" s="101">
        <f t="shared" si="6"/>
        <v>233.60000000000002</v>
      </c>
      <c r="N38" s="94">
        <v>288</v>
      </c>
      <c r="O38" s="95">
        <f t="shared" si="3"/>
        <v>230.4</v>
      </c>
      <c r="P38" s="94">
        <v>300</v>
      </c>
      <c r="Q38" s="95">
        <f t="shared" si="4"/>
        <v>240</v>
      </c>
      <c r="R38" s="94">
        <v>313</v>
      </c>
      <c r="S38" s="95">
        <f t="shared" si="9"/>
        <v>250.4</v>
      </c>
      <c r="T38" s="95">
        <v>319</v>
      </c>
      <c r="U38" s="95">
        <f t="shared" si="5"/>
        <v>255.20000000000002</v>
      </c>
    </row>
    <row r="39" spans="1:23" ht="13.5" customHeight="1" x14ac:dyDescent="0.15">
      <c r="A39" s="31" t="s">
        <v>25</v>
      </c>
      <c r="B39" s="30">
        <v>265</v>
      </c>
      <c r="C39" s="29">
        <f t="shared" si="8"/>
        <v>212</v>
      </c>
      <c r="D39" s="30">
        <v>265</v>
      </c>
      <c r="E39" s="29">
        <f t="shared" si="0"/>
        <v>212</v>
      </c>
      <c r="F39" s="30">
        <v>265</v>
      </c>
      <c r="G39" s="29">
        <f t="shared" si="1"/>
        <v>212</v>
      </c>
      <c r="H39" s="39" t="s">
        <v>53</v>
      </c>
      <c r="I39" s="39" t="s">
        <v>53</v>
      </c>
      <c r="J39" s="34"/>
      <c r="K39" s="34"/>
      <c r="L39" s="105">
        <v>319</v>
      </c>
      <c r="M39" s="65">
        <f>L39*0.8</f>
        <v>255.20000000000002</v>
      </c>
      <c r="N39" s="94">
        <v>304</v>
      </c>
      <c r="O39" s="95">
        <f t="shared" si="3"/>
        <v>243.20000000000002</v>
      </c>
      <c r="P39" s="94">
        <v>312.5</v>
      </c>
      <c r="Q39" s="95">
        <f t="shared" si="4"/>
        <v>250</v>
      </c>
      <c r="R39" s="94">
        <v>331.3</v>
      </c>
      <c r="S39" s="95">
        <f t="shared" si="9"/>
        <v>265.04000000000002</v>
      </c>
      <c r="T39" s="95">
        <v>331.3</v>
      </c>
      <c r="U39" s="95">
        <f t="shared" si="5"/>
        <v>265.04000000000002</v>
      </c>
    </row>
    <row r="40" spans="1:23" ht="13.5" customHeight="1" x14ac:dyDescent="0.15">
      <c r="A40" s="31"/>
      <c r="B40" s="30"/>
      <c r="C40" s="29"/>
      <c r="D40" s="30"/>
      <c r="E40" s="29"/>
      <c r="F40" s="30"/>
      <c r="G40" s="29"/>
      <c r="H40" s="30"/>
      <c r="I40" s="40"/>
      <c r="J40" s="35"/>
      <c r="K40" s="35"/>
      <c r="L40" s="35"/>
      <c r="M40" s="35"/>
      <c r="N40" s="28"/>
      <c r="O40" s="27"/>
      <c r="P40" s="28"/>
      <c r="Q40" s="27"/>
      <c r="R40" s="28"/>
      <c r="S40" s="27"/>
      <c r="T40" s="27"/>
      <c r="U40" s="27"/>
    </row>
    <row r="41" spans="1:23" ht="13.5" customHeight="1" x14ac:dyDescent="0.15">
      <c r="A41" s="32" t="s">
        <v>29</v>
      </c>
      <c r="B41" s="90">
        <v>259</v>
      </c>
      <c r="C41" s="89">
        <f t="shared" ref="C41:C47" si="10">B41*0.8</f>
        <v>207.20000000000002</v>
      </c>
      <c r="D41" s="90">
        <v>259</v>
      </c>
      <c r="E41" s="89">
        <f t="shared" ref="E41:E47" si="11">D41*0.8</f>
        <v>207.20000000000002</v>
      </c>
      <c r="F41" s="90">
        <v>259</v>
      </c>
      <c r="G41" s="89">
        <f t="shared" si="1"/>
        <v>207.20000000000002</v>
      </c>
      <c r="H41" s="90">
        <v>259</v>
      </c>
      <c r="I41" s="89">
        <f t="shared" si="2"/>
        <v>207.20000000000002</v>
      </c>
      <c r="J41" s="65">
        <v>319</v>
      </c>
      <c r="K41" s="65">
        <f>J41*0.8</f>
        <v>255.20000000000002</v>
      </c>
      <c r="L41" s="65">
        <v>319</v>
      </c>
      <c r="M41" s="65">
        <f t="shared" si="6"/>
        <v>255.20000000000002</v>
      </c>
      <c r="N41" s="94">
        <v>300</v>
      </c>
      <c r="O41" s="95">
        <f t="shared" si="3"/>
        <v>240</v>
      </c>
      <c r="P41" s="94">
        <v>313</v>
      </c>
      <c r="Q41" s="95">
        <f t="shared" si="4"/>
        <v>250.4</v>
      </c>
      <c r="R41" s="94">
        <v>319</v>
      </c>
      <c r="S41" s="95">
        <f t="shared" ref="S41:S47" si="12">R41*0.8</f>
        <v>255.20000000000002</v>
      </c>
      <c r="T41" s="27">
        <v>332</v>
      </c>
      <c r="U41" s="121">
        <f t="shared" si="5"/>
        <v>265.60000000000002</v>
      </c>
    </row>
    <row r="42" spans="1:23" ht="13.5" customHeight="1" x14ac:dyDescent="0.15">
      <c r="A42" s="32" t="s">
        <v>30</v>
      </c>
      <c r="B42" s="90">
        <v>313</v>
      </c>
      <c r="C42" s="89">
        <f t="shared" si="10"/>
        <v>250.4</v>
      </c>
      <c r="D42" s="90">
        <v>313</v>
      </c>
      <c r="E42" s="89">
        <f t="shared" si="11"/>
        <v>250.4</v>
      </c>
      <c r="F42" s="90">
        <v>313</v>
      </c>
      <c r="G42" s="89">
        <f t="shared" si="1"/>
        <v>250.4</v>
      </c>
      <c r="H42" s="90">
        <v>295</v>
      </c>
      <c r="I42" s="89">
        <f t="shared" si="2"/>
        <v>236</v>
      </c>
      <c r="J42" s="65">
        <v>375</v>
      </c>
      <c r="K42" s="65">
        <f>J42*0.8</f>
        <v>300</v>
      </c>
      <c r="L42" s="65">
        <v>375</v>
      </c>
      <c r="M42" s="65">
        <f t="shared" si="6"/>
        <v>300</v>
      </c>
      <c r="N42" s="94">
        <v>356</v>
      </c>
      <c r="O42" s="95">
        <f t="shared" si="3"/>
        <v>284.8</v>
      </c>
      <c r="P42" s="94">
        <v>375</v>
      </c>
      <c r="Q42" s="95">
        <f t="shared" si="4"/>
        <v>300</v>
      </c>
      <c r="R42" s="94">
        <v>388</v>
      </c>
      <c r="S42" s="95">
        <f t="shared" si="12"/>
        <v>310.40000000000003</v>
      </c>
      <c r="T42" s="27">
        <v>400</v>
      </c>
      <c r="U42" s="27">
        <f t="shared" si="5"/>
        <v>320</v>
      </c>
    </row>
    <row r="43" spans="1:23" ht="13.5" customHeight="1" x14ac:dyDescent="0.15">
      <c r="A43" s="32" t="s">
        <v>26</v>
      </c>
      <c r="B43" s="90">
        <v>320</v>
      </c>
      <c r="C43" s="89">
        <f t="shared" si="10"/>
        <v>256</v>
      </c>
      <c r="D43" s="90">
        <v>320</v>
      </c>
      <c r="E43" s="89">
        <f t="shared" si="11"/>
        <v>256</v>
      </c>
      <c r="F43" s="90">
        <v>320</v>
      </c>
      <c r="G43" s="89">
        <f t="shared" si="1"/>
        <v>256</v>
      </c>
      <c r="H43" s="90">
        <v>310</v>
      </c>
      <c r="I43" s="89">
        <f t="shared" si="2"/>
        <v>248</v>
      </c>
      <c r="J43" s="65">
        <v>380</v>
      </c>
      <c r="K43" s="65">
        <f>J43*0.8</f>
        <v>304</v>
      </c>
      <c r="L43" s="65">
        <v>380</v>
      </c>
      <c r="M43" s="65">
        <f t="shared" si="6"/>
        <v>304</v>
      </c>
      <c r="N43" s="94">
        <v>363</v>
      </c>
      <c r="O43" s="95">
        <f t="shared" si="3"/>
        <v>290.40000000000003</v>
      </c>
      <c r="P43" s="94">
        <v>384</v>
      </c>
      <c r="Q43" s="95">
        <f t="shared" si="4"/>
        <v>307.20000000000005</v>
      </c>
      <c r="R43" s="94">
        <v>400</v>
      </c>
      <c r="S43" s="95">
        <f t="shared" si="12"/>
        <v>320</v>
      </c>
      <c r="T43" s="27">
        <v>400</v>
      </c>
      <c r="U43" s="27">
        <f t="shared" si="5"/>
        <v>320</v>
      </c>
    </row>
    <row r="44" spans="1:23" ht="13.5" customHeight="1" x14ac:dyDescent="0.15">
      <c r="A44" s="32" t="s">
        <v>31</v>
      </c>
      <c r="B44" s="90">
        <v>345</v>
      </c>
      <c r="C44" s="89">
        <f t="shared" si="10"/>
        <v>276</v>
      </c>
      <c r="D44" s="90">
        <v>345</v>
      </c>
      <c r="E44" s="89">
        <f t="shared" si="11"/>
        <v>276</v>
      </c>
      <c r="F44" s="90">
        <v>345</v>
      </c>
      <c r="G44" s="89">
        <f t="shared" si="1"/>
        <v>276</v>
      </c>
      <c r="H44" s="90">
        <v>345</v>
      </c>
      <c r="I44" s="89">
        <f t="shared" si="2"/>
        <v>276</v>
      </c>
      <c r="J44" s="105" t="s">
        <v>184</v>
      </c>
      <c r="K44" s="105" t="s">
        <v>184</v>
      </c>
      <c r="L44" s="65" t="s">
        <v>182</v>
      </c>
      <c r="M44" s="65" t="s">
        <v>182</v>
      </c>
      <c r="N44" s="94">
        <v>406</v>
      </c>
      <c r="O44" s="95">
        <f t="shared" si="3"/>
        <v>324.8</v>
      </c>
      <c r="P44" s="94">
        <v>419</v>
      </c>
      <c r="Q44" s="95">
        <f t="shared" si="4"/>
        <v>335.20000000000005</v>
      </c>
      <c r="R44" s="94">
        <v>431</v>
      </c>
      <c r="S44" s="95">
        <f t="shared" si="12"/>
        <v>344.8</v>
      </c>
      <c r="T44" s="27">
        <v>444</v>
      </c>
      <c r="U44" s="121">
        <f t="shared" si="5"/>
        <v>355.20000000000005</v>
      </c>
    </row>
    <row r="45" spans="1:23" ht="13.5" customHeight="1" x14ac:dyDescent="0.15">
      <c r="A45" s="32" t="s">
        <v>27</v>
      </c>
      <c r="B45" s="90">
        <v>368</v>
      </c>
      <c r="C45" s="89">
        <f t="shared" si="10"/>
        <v>294.40000000000003</v>
      </c>
      <c r="D45" s="90">
        <v>368</v>
      </c>
      <c r="E45" s="89">
        <f t="shared" si="11"/>
        <v>294.40000000000003</v>
      </c>
      <c r="F45" s="90">
        <v>368</v>
      </c>
      <c r="G45" s="89">
        <f t="shared" si="1"/>
        <v>294.40000000000003</v>
      </c>
      <c r="H45" s="90">
        <v>368</v>
      </c>
      <c r="I45" s="89">
        <f t="shared" si="2"/>
        <v>294.40000000000003</v>
      </c>
      <c r="J45" s="105" t="s">
        <v>184</v>
      </c>
      <c r="K45" s="105" t="s">
        <v>184</v>
      </c>
      <c r="L45" s="65" t="s">
        <v>182</v>
      </c>
      <c r="M45" s="65" t="s">
        <v>182</v>
      </c>
      <c r="N45" s="94">
        <v>417</v>
      </c>
      <c r="O45" s="95">
        <f t="shared" si="3"/>
        <v>333.6</v>
      </c>
      <c r="P45" s="94">
        <v>442</v>
      </c>
      <c r="Q45" s="95">
        <f t="shared" si="4"/>
        <v>353.6</v>
      </c>
      <c r="R45" s="94">
        <v>460</v>
      </c>
      <c r="S45" s="95">
        <f t="shared" si="12"/>
        <v>368</v>
      </c>
      <c r="T45" s="27">
        <v>460</v>
      </c>
      <c r="U45" s="27">
        <f t="shared" si="5"/>
        <v>368</v>
      </c>
    </row>
    <row r="46" spans="1:23" ht="13.5" customHeight="1" x14ac:dyDescent="0.15">
      <c r="A46" s="32" t="s">
        <v>32</v>
      </c>
      <c r="B46" s="90">
        <v>390</v>
      </c>
      <c r="C46" s="89">
        <f t="shared" si="10"/>
        <v>312</v>
      </c>
      <c r="D46" s="90">
        <v>390</v>
      </c>
      <c r="E46" s="89">
        <f t="shared" si="11"/>
        <v>312</v>
      </c>
      <c r="F46" s="90">
        <v>390</v>
      </c>
      <c r="G46" s="89">
        <f t="shared" si="1"/>
        <v>312</v>
      </c>
      <c r="H46" s="90">
        <v>390</v>
      </c>
      <c r="I46" s="89">
        <f t="shared" si="2"/>
        <v>312</v>
      </c>
      <c r="J46" s="65">
        <v>500</v>
      </c>
      <c r="K46" s="65">
        <f>J46*0.8</f>
        <v>400</v>
      </c>
      <c r="L46" s="105" t="s">
        <v>184</v>
      </c>
      <c r="M46" s="105" t="s">
        <v>184</v>
      </c>
      <c r="N46" s="94">
        <v>475</v>
      </c>
      <c r="O46" s="95">
        <f t="shared" si="3"/>
        <v>380</v>
      </c>
      <c r="P46" s="94">
        <v>483</v>
      </c>
      <c r="Q46" s="95">
        <f t="shared" si="4"/>
        <v>386.40000000000003</v>
      </c>
      <c r="R46" s="94">
        <v>488</v>
      </c>
      <c r="S46" s="95">
        <f t="shared" si="12"/>
        <v>390.40000000000003</v>
      </c>
      <c r="T46" s="27">
        <v>500</v>
      </c>
      <c r="U46" s="27">
        <f t="shared" si="5"/>
        <v>400</v>
      </c>
    </row>
    <row r="47" spans="1:23" ht="13.5" customHeight="1" x14ac:dyDescent="0.15">
      <c r="A47" s="32" t="s">
        <v>28</v>
      </c>
      <c r="B47" s="90">
        <v>415</v>
      </c>
      <c r="C47" s="89">
        <f t="shared" si="10"/>
        <v>332</v>
      </c>
      <c r="D47" s="90">
        <v>415</v>
      </c>
      <c r="E47" s="89">
        <f t="shared" si="11"/>
        <v>332</v>
      </c>
      <c r="F47" s="90">
        <v>415</v>
      </c>
      <c r="G47" s="89">
        <f t="shared" si="1"/>
        <v>332</v>
      </c>
      <c r="H47" s="90">
        <v>415</v>
      </c>
      <c r="I47" s="89">
        <f t="shared" si="2"/>
        <v>332</v>
      </c>
      <c r="J47" s="65">
        <v>535</v>
      </c>
      <c r="K47" s="65">
        <f>J47*0.8</f>
        <v>428</v>
      </c>
      <c r="L47" s="105" t="s">
        <v>184</v>
      </c>
      <c r="M47" s="105" t="s">
        <v>184</v>
      </c>
      <c r="N47" s="94">
        <v>486</v>
      </c>
      <c r="O47" s="95">
        <f t="shared" si="3"/>
        <v>388.8</v>
      </c>
      <c r="P47" s="94">
        <v>508</v>
      </c>
      <c r="Q47" s="95">
        <f t="shared" si="4"/>
        <v>406.40000000000003</v>
      </c>
      <c r="R47" s="94">
        <v>513</v>
      </c>
      <c r="S47" s="95">
        <f t="shared" si="12"/>
        <v>410.40000000000003</v>
      </c>
      <c r="T47" s="27">
        <v>525</v>
      </c>
      <c r="U47" s="27">
        <f t="shared" si="5"/>
        <v>420</v>
      </c>
    </row>
    <row r="48" spans="1:23" ht="13.5" customHeight="1" x14ac:dyDescent="0.15">
      <c r="A48" s="32"/>
      <c r="B48" s="90"/>
      <c r="C48" s="89"/>
      <c r="D48" s="90"/>
      <c r="E48" s="89"/>
      <c r="F48" s="90"/>
      <c r="G48" s="89"/>
      <c r="H48" s="90"/>
      <c r="I48" s="89"/>
      <c r="J48" s="35"/>
      <c r="K48" s="35"/>
      <c r="L48" s="35"/>
      <c r="M48" s="35"/>
      <c r="N48" s="94"/>
      <c r="O48" s="95"/>
      <c r="P48" s="94"/>
      <c r="Q48" s="95"/>
      <c r="R48" s="94"/>
      <c r="S48" s="95"/>
      <c r="T48" s="27"/>
      <c r="U48" s="27"/>
      <c r="W48" t="s">
        <v>183</v>
      </c>
    </row>
    <row r="49" spans="1:21" ht="13.5" customHeight="1" x14ac:dyDescent="0.15">
      <c r="A49" s="32" t="s">
        <v>33</v>
      </c>
      <c r="B49" s="91">
        <v>478</v>
      </c>
      <c r="C49" s="89">
        <f t="shared" ref="C49:C54" si="13">B49*0.8</f>
        <v>382.40000000000003</v>
      </c>
      <c r="D49" s="91">
        <v>478</v>
      </c>
      <c r="E49" s="89">
        <f t="shared" ref="E49:E54" si="14">D49*0.8</f>
        <v>382.40000000000003</v>
      </c>
      <c r="F49" s="91">
        <v>478</v>
      </c>
      <c r="G49" s="89">
        <f t="shared" si="1"/>
        <v>382.40000000000003</v>
      </c>
      <c r="H49" s="90">
        <v>478</v>
      </c>
      <c r="I49" s="89">
        <f t="shared" si="2"/>
        <v>382.40000000000003</v>
      </c>
      <c r="J49" s="65">
        <v>520</v>
      </c>
      <c r="K49" s="65">
        <f t="shared" ref="K49:K54" si="15">J49*0.8</f>
        <v>416</v>
      </c>
      <c r="L49" s="65">
        <v>520</v>
      </c>
      <c r="M49" s="65">
        <f t="shared" si="6"/>
        <v>416</v>
      </c>
      <c r="N49" s="94">
        <v>550</v>
      </c>
      <c r="O49" s="95">
        <f t="shared" si="3"/>
        <v>440</v>
      </c>
      <c r="P49" s="94">
        <v>581</v>
      </c>
      <c r="Q49" s="95">
        <f t="shared" si="4"/>
        <v>464.8</v>
      </c>
      <c r="R49" s="94">
        <v>613</v>
      </c>
      <c r="S49" s="95">
        <f t="shared" ref="S49:S54" si="16">R49*0.8</f>
        <v>490.40000000000003</v>
      </c>
      <c r="T49" s="27">
        <v>625</v>
      </c>
      <c r="U49" s="27">
        <f t="shared" si="5"/>
        <v>500</v>
      </c>
    </row>
    <row r="50" spans="1:21" ht="13.5" customHeight="1" x14ac:dyDescent="0.15">
      <c r="A50" s="32" t="s">
        <v>34</v>
      </c>
      <c r="B50" s="90">
        <v>515</v>
      </c>
      <c r="C50" s="89">
        <f t="shared" si="13"/>
        <v>412</v>
      </c>
      <c r="D50" s="90">
        <v>515</v>
      </c>
      <c r="E50" s="89">
        <f t="shared" si="14"/>
        <v>412</v>
      </c>
      <c r="F50" s="90">
        <v>515</v>
      </c>
      <c r="G50" s="89">
        <f t="shared" si="1"/>
        <v>412</v>
      </c>
      <c r="H50" s="90">
        <v>515</v>
      </c>
      <c r="I50" s="89">
        <f t="shared" si="2"/>
        <v>412</v>
      </c>
      <c r="J50" s="65">
        <v>655</v>
      </c>
      <c r="K50" s="65">
        <f t="shared" si="15"/>
        <v>524</v>
      </c>
      <c r="L50" s="65">
        <v>655</v>
      </c>
      <c r="M50" s="65">
        <f t="shared" si="6"/>
        <v>524</v>
      </c>
      <c r="N50" s="94">
        <v>588</v>
      </c>
      <c r="O50" s="95">
        <f t="shared" si="3"/>
        <v>470.40000000000003</v>
      </c>
      <c r="P50" s="94">
        <v>625</v>
      </c>
      <c r="Q50" s="95">
        <f t="shared" si="4"/>
        <v>500</v>
      </c>
      <c r="R50" s="94">
        <v>655</v>
      </c>
      <c r="S50" s="95">
        <f t="shared" si="16"/>
        <v>524</v>
      </c>
      <c r="T50" s="27">
        <v>675</v>
      </c>
      <c r="U50" s="27">
        <f t="shared" si="5"/>
        <v>540</v>
      </c>
    </row>
    <row r="51" spans="1:21" ht="13.5" customHeight="1" x14ac:dyDescent="0.15">
      <c r="A51" s="32" t="s">
        <v>35</v>
      </c>
      <c r="B51" s="89">
        <f>'4P 3PH rating '!B51*1.03</f>
        <v>579.89</v>
      </c>
      <c r="C51" s="89">
        <f t="shared" si="13"/>
        <v>463.91200000000003</v>
      </c>
      <c r="D51" s="89">
        <f>'4P 3PH rating '!D51*1.03</f>
        <v>579.89</v>
      </c>
      <c r="E51" s="89">
        <f>D51*0.8</f>
        <v>463.91200000000003</v>
      </c>
      <c r="F51" s="89">
        <f>'4P 3PH rating '!F51*1.03</f>
        <v>579.89</v>
      </c>
      <c r="G51" s="89">
        <f>F51*0.8</f>
        <v>463.91200000000003</v>
      </c>
      <c r="H51" s="89">
        <f>'4P 3PH rating '!H51*1.03</f>
        <v>579.89</v>
      </c>
      <c r="I51" s="89">
        <f>H51*0.8</f>
        <v>463.91200000000003</v>
      </c>
      <c r="J51" s="101">
        <f>'4P 3PH rating '!J51*1.03</f>
        <v>669.5</v>
      </c>
      <c r="K51" s="101">
        <f t="shared" si="15"/>
        <v>535.6</v>
      </c>
      <c r="L51" s="101">
        <f>'4P 3PH rating '!L51*1.03</f>
        <v>669.5</v>
      </c>
      <c r="M51" s="101">
        <f t="shared" si="6"/>
        <v>535.6</v>
      </c>
      <c r="N51" s="102">
        <f>'4P 3PH rating '!N51*1.03</f>
        <v>643.75</v>
      </c>
      <c r="O51" s="102">
        <f>N51*0.8</f>
        <v>515</v>
      </c>
      <c r="P51" s="102">
        <f>'4P 3PH rating '!P51*1.03</f>
        <v>669.5</v>
      </c>
      <c r="Q51" s="102">
        <f t="shared" si="4"/>
        <v>535.6</v>
      </c>
      <c r="R51" s="102">
        <v>700</v>
      </c>
      <c r="S51" s="102">
        <f t="shared" si="16"/>
        <v>560</v>
      </c>
      <c r="T51" s="27">
        <v>725</v>
      </c>
      <c r="U51" s="27">
        <f t="shared" si="5"/>
        <v>580</v>
      </c>
    </row>
    <row r="52" spans="1:21" ht="13.5" customHeight="1" x14ac:dyDescent="0.15">
      <c r="A52" s="32" t="s">
        <v>36</v>
      </c>
      <c r="B52" s="91">
        <v>636</v>
      </c>
      <c r="C52" s="89">
        <f t="shared" si="13"/>
        <v>508.8</v>
      </c>
      <c r="D52" s="91">
        <v>636</v>
      </c>
      <c r="E52" s="89">
        <f t="shared" si="14"/>
        <v>508.8</v>
      </c>
      <c r="F52" s="91">
        <v>636</v>
      </c>
      <c r="G52" s="89">
        <f t="shared" si="1"/>
        <v>508.8</v>
      </c>
      <c r="H52" s="90">
        <v>636</v>
      </c>
      <c r="I52" s="89">
        <f t="shared" si="2"/>
        <v>508.8</v>
      </c>
      <c r="J52" s="65">
        <v>710</v>
      </c>
      <c r="K52" s="65">
        <f t="shared" si="15"/>
        <v>568</v>
      </c>
      <c r="L52" s="65">
        <v>710</v>
      </c>
      <c r="M52" s="65">
        <f t="shared" si="6"/>
        <v>568</v>
      </c>
      <c r="N52" s="94">
        <v>719</v>
      </c>
      <c r="O52" s="95">
        <f t="shared" si="3"/>
        <v>575.20000000000005</v>
      </c>
      <c r="P52" s="94">
        <v>750</v>
      </c>
      <c r="Q52" s="95">
        <f t="shared" si="4"/>
        <v>600</v>
      </c>
      <c r="R52" s="94">
        <v>780</v>
      </c>
      <c r="S52" s="95">
        <f t="shared" si="16"/>
        <v>624</v>
      </c>
      <c r="T52" s="27">
        <v>800</v>
      </c>
      <c r="U52" s="27">
        <f t="shared" si="5"/>
        <v>640</v>
      </c>
    </row>
    <row r="53" spans="1:21" ht="13.5" customHeight="1" x14ac:dyDescent="0.15">
      <c r="A53" s="32" t="s">
        <v>47</v>
      </c>
      <c r="B53" s="89">
        <f>'4P 3PH rating '!B53*1.04</f>
        <v>650</v>
      </c>
      <c r="C53" s="89">
        <f t="shared" si="13"/>
        <v>520</v>
      </c>
      <c r="D53" s="89">
        <f>'4P 3PH rating '!D53*1.04</f>
        <v>650</v>
      </c>
      <c r="E53" s="89">
        <f t="shared" si="14"/>
        <v>520</v>
      </c>
      <c r="F53" s="89">
        <f>'4P 3PH rating '!F53*1.04</f>
        <v>650</v>
      </c>
      <c r="G53" s="89">
        <f t="shared" si="1"/>
        <v>520</v>
      </c>
      <c r="H53" s="89">
        <f>'4P 3PH rating '!H53*1.04</f>
        <v>650</v>
      </c>
      <c r="I53" s="89">
        <f t="shared" si="2"/>
        <v>520</v>
      </c>
      <c r="J53" s="101">
        <f>'4P 3PH rating '!J53*1.03</f>
        <v>731.30000000000007</v>
      </c>
      <c r="K53" s="101">
        <f t="shared" si="15"/>
        <v>585.04000000000008</v>
      </c>
      <c r="L53" s="101">
        <f>'4P 3PH rating '!L53*1.03</f>
        <v>731.30000000000007</v>
      </c>
      <c r="M53" s="101">
        <f>L53*0.8</f>
        <v>585.04000000000008</v>
      </c>
      <c r="N53" s="102">
        <f>'4P 3PH rating '!N53*1.04</f>
        <v>728</v>
      </c>
      <c r="O53" s="102">
        <f>N53*0.8</f>
        <v>582.4</v>
      </c>
      <c r="P53" s="102">
        <v>765</v>
      </c>
      <c r="Q53" s="102">
        <f t="shared" si="4"/>
        <v>612</v>
      </c>
      <c r="R53" s="102">
        <v>800</v>
      </c>
      <c r="S53" s="102">
        <f t="shared" si="16"/>
        <v>640</v>
      </c>
      <c r="T53" s="27">
        <v>825</v>
      </c>
      <c r="U53" s="27">
        <f t="shared" si="5"/>
        <v>660</v>
      </c>
    </row>
    <row r="54" spans="1:21" x14ac:dyDescent="0.15">
      <c r="A54" s="32" t="s">
        <v>37</v>
      </c>
      <c r="B54" s="91">
        <v>710</v>
      </c>
      <c r="C54" s="89">
        <f t="shared" si="13"/>
        <v>568</v>
      </c>
      <c r="D54" s="91">
        <v>710</v>
      </c>
      <c r="E54" s="89">
        <f t="shared" si="14"/>
        <v>568</v>
      </c>
      <c r="F54" s="91">
        <v>710</v>
      </c>
      <c r="G54" s="89">
        <f t="shared" si="1"/>
        <v>568</v>
      </c>
      <c r="H54" s="90">
        <v>690</v>
      </c>
      <c r="I54" s="89">
        <f t="shared" si="2"/>
        <v>552</v>
      </c>
      <c r="J54" s="65">
        <v>850</v>
      </c>
      <c r="K54" s="65">
        <f t="shared" si="15"/>
        <v>680</v>
      </c>
      <c r="L54" s="65">
        <v>850</v>
      </c>
      <c r="M54" s="65">
        <f t="shared" si="6"/>
        <v>680</v>
      </c>
      <c r="N54" s="94">
        <v>781</v>
      </c>
      <c r="O54" s="95">
        <f t="shared" si="3"/>
        <v>624.80000000000007</v>
      </c>
      <c r="P54" s="94">
        <v>819</v>
      </c>
      <c r="Q54" s="95">
        <f t="shared" si="4"/>
        <v>655.20000000000005</v>
      </c>
      <c r="R54" s="94">
        <v>848</v>
      </c>
      <c r="S54" s="95">
        <f t="shared" si="16"/>
        <v>678.40000000000009</v>
      </c>
      <c r="T54" s="27">
        <v>875</v>
      </c>
      <c r="U54" s="27">
        <f t="shared" si="5"/>
        <v>700</v>
      </c>
    </row>
    <row r="55" spans="1:21" x14ac:dyDescent="0.15">
      <c r="A55" s="1"/>
      <c r="B55" s="9"/>
      <c r="C55" s="10"/>
      <c r="D55" s="11"/>
      <c r="E55" s="10"/>
      <c r="F55" s="11"/>
      <c r="G55" s="12"/>
      <c r="H55" s="10"/>
      <c r="I55" s="10"/>
      <c r="J55" s="13"/>
      <c r="K55" s="10"/>
      <c r="L55" s="10"/>
      <c r="M55" s="10"/>
      <c r="N55" s="14"/>
      <c r="O55" s="14"/>
      <c r="P55" s="14"/>
      <c r="Q55" s="14"/>
      <c r="R55" s="14"/>
      <c r="S55" s="14"/>
      <c r="T55" s="14"/>
      <c r="U55" s="15"/>
    </row>
    <row r="56" spans="1:21" x14ac:dyDescent="0.15">
      <c r="A56" s="24" t="s">
        <v>68</v>
      </c>
      <c r="B56" s="139" t="s">
        <v>66</v>
      </c>
      <c r="C56" s="140"/>
      <c r="D56" s="140"/>
      <c r="E56" s="140"/>
      <c r="F56" s="140"/>
      <c r="G56" s="140"/>
      <c r="H56" s="140"/>
      <c r="I56" s="141"/>
      <c r="J56" s="135" t="s">
        <v>67</v>
      </c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6"/>
    </row>
    <row r="57" spans="1:21" x14ac:dyDescent="0.15">
      <c r="A57" s="24" t="s">
        <v>58</v>
      </c>
      <c r="B57" s="128">
        <v>0.8</v>
      </c>
      <c r="C57" s="129"/>
      <c r="D57" s="128">
        <v>0.8</v>
      </c>
      <c r="E57" s="129"/>
      <c r="F57" s="128">
        <v>0.8</v>
      </c>
      <c r="G57" s="129"/>
      <c r="H57" s="128">
        <v>0.8</v>
      </c>
      <c r="I57" s="129"/>
      <c r="J57" s="130">
        <v>0.8</v>
      </c>
      <c r="K57" s="131"/>
      <c r="L57" s="20">
        <v>0.8</v>
      </c>
      <c r="M57" s="21"/>
      <c r="N57" s="20">
        <v>0.8</v>
      </c>
      <c r="O57" s="21"/>
      <c r="P57" s="130">
        <v>0.8</v>
      </c>
      <c r="Q57" s="131"/>
      <c r="R57" s="130">
        <v>0.8</v>
      </c>
      <c r="S57" s="131"/>
      <c r="T57" s="130">
        <v>0.8</v>
      </c>
      <c r="U57" s="131"/>
    </row>
    <row r="58" spans="1:21" x14ac:dyDescent="0.15">
      <c r="A58" s="24" t="s">
        <v>59</v>
      </c>
      <c r="B58" s="17"/>
      <c r="C58" s="18"/>
      <c r="D58" s="17"/>
      <c r="E58" s="18"/>
      <c r="F58" s="17"/>
      <c r="G58" s="18"/>
      <c r="H58" s="53"/>
      <c r="I58" s="53"/>
      <c r="J58" s="20"/>
      <c r="K58" s="21"/>
      <c r="L58" s="20"/>
      <c r="M58" s="21"/>
      <c r="N58" s="20"/>
      <c r="O58" s="21"/>
      <c r="P58" s="20"/>
      <c r="Q58" s="21"/>
      <c r="R58" s="20"/>
      <c r="S58" s="21"/>
      <c r="T58" s="20"/>
      <c r="U58" s="21"/>
    </row>
    <row r="59" spans="1:21" x14ac:dyDescent="0.15">
      <c r="A59" s="24" t="s">
        <v>104</v>
      </c>
      <c r="B59" s="128">
        <v>380</v>
      </c>
      <c r="C59" s="129"/>
      <c r="D59" s="137">
        <v>400</v>
      </c>
      <c r="E59" s="137"/>
      <c r="F59" s="128">
        <v>415</v>
      </c>
      <c r="G59" s="129"/>
      <c r="H59" s="128">
        <v>440</v>
      </c>
      <c r="I59" s="129"/>
      <c r="J59" s="130" t="s">
        <v>48</v>
      </c>
      <c r="K59" s="131"/>
      <c r="L59" s="20"/>
      <c r="M59" s="21"/>
      <c r="N59" s="126">
        <v>416</v>
      </c>
      <c r="O59" s="127"/>
      <c r="P59" s="130">
        <v>440</v>
      </c>
      <c r="Q59" s="131"/>
      <c r="R59" s="130">
        <v>460</v>
      </c>
      <c r="S59" s="131"/>
      <c r="T59" s="130">
        <v>480</v>
      </c>
      <c r="U59" s="131"/>
    </row>
    <row r="60" spans="1:21" x14ac:dyDescent="0.15">
      <c r="A60" s="24" t="s">
        <v>105</v>
      </c>
      <c r="B60" s="128">
        <v>220</v>
      </c>
      <c r="C60" s="129"/>
      <c r="D60" s="128">
        <v>230</v>
      </c>
      <c r="E60" s="129"/>
      <c r="F60" s="128">
        <v>240</v>
      </c>
      <c r="G60" s="129"/>
      <c r="H60" s="128">
        <v>254</v>
      </c>
      <c r="I60" s="129"/>
      <c r="J60" s="130" t="s">
        <v>50</v>
      </c>
      <c r="K60" s="131"/>
      <c r="L60" s="20"/>
      <c r="M60" s="21"/>
      <c r="N60" s="126">
        <v>240</v>
      </c>
      <c r="O60" s="127"/>
      <c r="P60" s="126">
        <v>254</v>
      </c>
      <c r="Q60" s="127"/>
      <c r="R60" s="126">
        <v>266</v>
      </c>
      <c r="S60" s="127"/>
      <c r="T60" s="126">
        <v>277</v>
      </c>
      <c r="U60" s="127"/>
    </row>
    <row r="61" spans="1:21" x14ac:dyDescent="0.15">
      <c r="A61" s="24" t="s">
        <v>106</v>
      </c>
      <c r="B61" s="128">
        <v>380</v>
      </c>
      <c r="C61" s="129"/>
      <c r="D61" s="137">
        <v>400</v>
      </c>
      <c r="E61" s="137"/>
      <c r="F61" s="128">
        <v>415</v>
      </c>
      <c r="G61" s="129"/>
      <c r="H61" s="128">
        <v>440</v>
      </c>
      <c r="I61" s="129"/>
      <c r="J61" s="135" t="s">
        <v>53</v>
      </c>
      <c r="K61" s="136"/>
      <c r="L61" s="130" t="s">
        <v>48</v>
      </c>
      <c r="M61" s="131"/>
      <c r="N61" s="126">
        <v>416</v>
      </c>
      <c r="O61" s="127"/>
      <c r="P61" s="130">
        <v>440</v>
      </c>
      <c r="Q61" s="131"/>
      <c r="R61" s="130">
        <v>460</v>
      </c>
      <c r="S61" s="131"/>
      <c r="T61" s="130">
        <v>480</v>
      </c>
      <c r="U61" s="131"/>
    </row>
    <row r="62" spans="1:21" ht="16.5" customHeight="1" x14ac:dyDescent="0.15">
      <c r="A62" s="24" t="s">
        <v>107</v>
      </c>
      <c r="B62" s="128">
        <v>190</v>
      </c>
      <c r="C62" s="129"/>
      <c r="D62" s="128">
        <v>200</v>
      </c>
      <c r="E62" s="129"/>
      <c r="F62" s="128">
        <v>208</v>
      </c>
      <c r="G62" s="129"/>
      <c r="H62" s="128">
        <v>220</v>
      </c>
      <c r="I62" s="129"/>
      <c r="J62" s="130" t="s">
        <v>53</v>
      </c>
      <c r="K62" s="131"/>
      <c r="L62" s="130" t="s">
        <v>49</v>
      </c>
      <c r="M62" s="131"/>
      <c r="N62" s="126">
        <v>208</v>
      </c>
      <c r="O62" s="127"/>
      <c r="P62" s="126">
        <v>220</v>
      </c>
      <c r="Q62" s="127"/>
      <c r="R62" s="126">
        <v>230</v>
      </c>
      <c r="S62" s="127"/>
      <c r="T62" s="126">
        <v>240</v>
      </c>
      <c r="U62" s="127"/>
    </row>
    <row r="63" spans="1:21" x14ac:dyDescent="0.15">
      <c r="A63" s="25" t="s">
        <v>62</v>
      </c>
      <c r="B63" s="128">
        <v>220</v>
      </c>
      <c r="C63" s="129"/>
      <c r="D63" s="128">
        <v>230</v>
      </c>
      <c r="E63" s="129"/>
      <c r="F63" s="128">
        <v>240</v>
      </c>
      <c r="G63" s="129"/>
      <c r="H63" s="128">
        <v>254</v>
      </c>
      <c r="I63" s="129"/>
      <c r="J63" s="135" t="s">
        <v>53</v>
      </c>
      <c r="K63" s="136"/>
      <c r="L63" s="130" t="s">
        <v>50</v>
      </c>
      <c r="M63" s="131"/>
      <c r="N63" s="54">
        <v>240</v>
      </c>
      <c r="O63" s="52"/>
      <c r="P63" s="126">
        <v>254</v>
      </c>
      <c r="Q63" s="127"/>
      <c r="R63" s="126">
        <v>266</v>
      </c>
      <c r="S63" s="127"/>
      <c r="T63" s="126">
        <v>277</v>
      </c>
      <c r="U63" s="127"/>
    </row>
    <row r="64" spans="1:21" x14ac:dyDescent="0.15">
      <c r="A64" s="25" t="s">
        <v>63</v>
      </c>
      <c r="B64" s="128" t="s">
        <v>55</v>
      </c>
      <c r="C64" s="129"/>
      <c r="D64" s="128" t="s">
        <v>55</v>
      </c>
      <c r="E64" s="129"/>
      <c r="F64" s="128" t="s">
        <v>55</v>
      </c>
      <c r="G64" s="129"/>
      <c r="H64" s="128" t="s">
        <v>55</v>
      </c>
      <c r="I64" s="129"/>
      <c r="J64" s="130">
        <v>13</v>
      </c>
      <c r="K64" s="131"/>
      <c r="L64" s="20">
        <v>14</v>
      </c>
      <c r="M64" s="21"/>
      <c r="N64" s="54" t="s">
        <v>55</v>
      </c>
      <c r="O64" s="52"/>
      <c r="P64" s="126" t="s">
        <v>55</v>
      </c>
      <c r="Q64" s="127"/>
      <c r="R64" s="126" t="s">
        <v>55</v>
      </c>
      <c r="S64" s="127"/>
      <c r="T64" s="126" t="s">
        <v>55</v>
      </c>
      <c r="U64" s="127"/>
    </row>
    <row r="65" spans="1:21" x14ac:dyDescent="0.15">
      <c r="A65" s="26" t="s">
        <v>64</v>
      </c>
      <c r="B65" s="19" t="s">
        <v>0</v>
      </c>
      <c r="C65" s="19" t="s">
        <v>1</v>
      </c>
      <c r="D65" s="19" t="s">
        <v>0</v>
      </c>
      <c r="E65" s="19" t="s">
        <v>1</v>
      </c>
      <c r="F65" s="19" t="s">
        <v>0</v>
      </c>
      <c r="G65" s="19" t="s">
        <v>1</v>
      </c>
      <c r="H65" s="19" t="s">
        <v>0</v>
      </c>
      <c r="I65" s="19" t="s">
        <v>1</v>
      </c>
      <c r="J65" s="22" t="s">
        <v>51</v>
      </c>
      <c r="K65" s="23" t="s">
        <v>52</v>
      </c>
      <c r="L65" s="22" t="s">
        <v>51</v>
      </c>
      <c r="M65" s="23" t="s">
        <v>52</v>
      </c>
      <c r="N65" s="23" t="s">
        <v>0</v>
      </c>
      <c r="O65" s="23" t="s">
        <v>1</v>
      </c>
      <c r="P65" s="23" t="s">
        <v>0</v>
      </c>
      <c r="Q65" s="23" t="s">
        <v>1</v>
      </c>
      <c r="R65" s="23" t="s">
        <v>0</v>
      </c>
      <c r="S65" s="23" t="s">
        <v>1</v>
      </c>
      <c r="T65" s="23" t="s">
        <v>0</v>
      </c>
      <c r="U65" s="23" t="s">
        <v>1</v>
      </c>
    </row>
    <row r="66" spans="1:21" x14ac:dyDescent="0.15">
      <c r="A66" s="32" t="s">
        <v>39</v>
      </c>
      <c r="B66" s="109">
        <f>'4P 3PH rating '!B66*1.03</f>
        <v>731.30000000000007</v>
      </c>
      <c r="C66" s="110">
        <f>B66*0.8</f>
        <v>585.04000000000008</v>
      </c>
      <c r="D66" s="109">
        <f>'4P 3PH rating '!D66*1.03</f>
        <v>772.5</v>
      </c>
      <c r="E66" s="110">
        <f>D66*0.8</f>
        <v>618</v>
      </c>
      <c r="F66" s="109">
        <f>'4P 3PH rating '!F66*1.03</f>
        <v>772.5</v>
      </c>
      <c r="G66" s="110">
        <f>F66*0.8</f>
        <v>618</v>
      </c>
      <c r="H66" s="109">
        <f>'4P 3PH rating '!H66*1.03</f>
        <v>700.4</v>
      </c>
      <c r="I66" s="110">
        <f>H66*0.8</f>
        <v>560.32000000000005</v>
      </c>
      <c r="J66" s="107">
        <f>'4P 3PH rating '!J66*1.03</f>
        <v>966.14</v>
      </c>
      <c r="K66" s="108">
        <f>J66*0.8</f>
        <v>772.91200000000003</v>
      </c>
      <c r="L66" s="107">
        <f>'4P 3PH rating '!L66*1.03</f>
        <v>966.14</v>
      </c>
      <c r="M66" s="108">
        <f>L66*0.8</f>
        <v>772.91200000000003</v>
      </c>
      <c r="N66" s="113">
        <f>'4P 3PH rating '!N66*1.03</f>
        <v>834.30000000000007</v>
      </c>
      <c r="O66" s="114">
        <f t="shared" ref="O66:O71" si="17">N66*0.8</f>
        <v>667.44</v>
      </c>
      <c r="P66" s="113">
        <f>'4P 3PH rating '!P66*1.03</f>
        <v>880.65</v>
      </c>
      <c r="Q66" s="114">
        <f t="shared" ref="Q66:Q71" si="18">P66*0.8</f>
        <v>704.52</v>
      </c>
      <c r="R66" s="113">
        <f>'4P 3PH rating '!R66*1.03</f>
        <v>921.85</v>
      </c>
      <c r="S66" s="114">
        <f t="shared" ref="S66:S71" si="19">R66*0.8</f>
        <v>737.48</v>
      </c>
      <c r="T66" s="113">
        <f>'4P 3PH rating '!T66*1.03</f>
        <v>966.14</v>
      </c>
      <c r="U66" s="114">
        <f t="shared" ref="U66:U71" si="20">T66*0.8</f>
        <v>772.91200000000003</v>
      </c>
    </row>
    <row r="67" spans="1:21" x14ac:dyDescent="0.15">
      <c r="A67" s="33" t="s">
        <v>54</v>
      </c>
      <c r="B67" s="109">
        <f>'4P 3PH rating '!B67*1.03</f>
        <v>782.80000000000007</v>
      </c>
      <c r="C67" s="110">
        <f t="shared" ref="C67:I71" si="21">B67*0.8</f>
        <v>626.24000000000012</v>
      </c>
      <c r="D67" s="109">
        <f>'4P 3PH rating '!D67*1.03</f>
        <v>824</v>
      </c>
      <c r="E67" s="110">
        <f t="shared" si="21"/>
        <v>659.2</v>
      </c>
      <c r="F67" s="109">
        <f>'4P 3PH rating '!F67*1.03</f>
        <v>824</v>
      </c>
      <c r="G67" s="110">
        <f t="shared" si="21"/>
        <v>659.2</v>
      </c>
      <c r="H67" s="109">
        <f>'4P 3PH rating '!H67*1.03</f>
        <v>746.75</v>
      </c>
      <c r="I67" s="110">
        <f t="shared" si="21"/>
        <v>597.4</v>
      </c>
      <c r="J67" s="107" t="s">
        <v>184</v>
      </c>
      <c r="K67" s="104" t="s">
        <v>184</v>
      </c>
      <c r="L67" s="107" t="s">
        <v>184</v>
      </c>
      <c r="M67" s="104" t="s">
        <v>184</v>
      </c>
      <c r="N67" s="113">
        <f>'4P 3PH rating '!N67*1.03</f>
        <v>890.95</v>
      </c>
      <c r="O67" s="114">
        <f t="shared" si="17"/>
        <v>712.7600000000001</v>
      </c>
      <c r="P67" s="113">
        <f>'4P 3PH rating '!P67*1.03</f>
        <v>943.48</v>
      </c>
      <c r="Q67" s="114">
        <f t="shared" si="18"/>
        <v>754.78400000000011</v>
      </c>
      <c r="R67" s="113">
        <f>'4P 3PH rating '!R67*1.03</f>
        <v>986.74</v>
      </c>
      <c r="S67" s="114">
        <f t="shared" si="19"/>
        <v>789.39200000000005</v>
      </c>
      <c r="T67" s="113">
        <f>'4P 3PH rating '!T67*1.03</f>
        <v>1030</v>
      </c>
      <c r="U67" s="114">
        <f t="shared" si="20"/>
        <v>824</v>
      </c>
    </row>
    <row r="68" spans="1:21" x14ac:dyDescent="0.15">
      <c r="A68" s="32" t="s">
        <v>40</v>
      </c>
      <c r="B68" s="109">
        <f>'4P 3PH rating '!B68*1.03</f>
        <v>890.95</v>
      </c>
      <c r="C68" s="110">
        <f t="shared" si="21"/>
        <v>712.7600000000001</v>
      </c>
      <c r="D68" s="109">
        <f>'4P 3PH rating '!D68*1.03</f>
        <v>937.30000000000007</v>
      </c>
      <c r="E68" s="110">
        <f t="shared" si="21"/>
        <v>749.84000000000015</v>
      </c>
      <c r="F68" s="109">
        <f>'4P 3PH rating '!F68*1.03</f>
        <v>937.30000000000007</v>
      </c>
      <c r="G68" s="110">
        <f t="shared" si="21"/>
        <v>749.84000000000015</v>
      </c>
      <c r="H68" s="109">
        <f>'4P 3PH rating '!H68*1.03</f>
        <v>849.75</v>
      </c>
      <c r="I68" s="110">
        <f t="shared" si="21"/>
        <v>679.80000000000007</v>
      </c>
      <c r="J68" s="107">
        <f>'4P 3PH rating '!J68*1.03</f>
        <v>1094.8900000000001</v>
      </c>
      <c r="K68" s="108">
        <f>J68*0.8</f>
        <v>875.91200000000015</v>
      </c>
      <c r="L68" s="107">
        <f>'4P 3PH rating '!L68*1.03</f>
        <v>1094.8900000000001</v>
      </c>
      <c r="M68" s="108">
        <f>L68*0.8</f>
        <v>875.91200000000015</v>
      </c>
      <c r="N68" s="113">
        <f>'4P 3PH rating '!N68*1.03</f>
        <v>1015.58</v>
      </c>
      <c r="O68" s="114">
        <f t="shared" si="17"/>
        <v>812.46400000000006</v>
      </c>
      <c r="P68" s="113">
        <f>'4P 3PH rating '!P68*1.03</f>
        <v>1065.02</v>
      </c>
      <c r="Q68" s="114">
        <f t="shared" si="18"/>
        <v>852.01600000000008</v>
      </c>
      <c r="R68" s="113">
        <f>'4P 3PH rating '!R68*1.03</f>
        <v>1122.7</v>
      </c>
      <c r="S68" s="114">
        <f t="shared" si="19"/>
        <v>898.16000000000008</v>
      </c>
      <c r="T68" s="113">
        <f>'4P 3PH rating '!T68*1.03</f>
        <v>1172.1400000000001</v>
      </c>
      <c r="U68" s="114">
        <f t="shared" si="20"/>
        <v>937.7120000000001</v>
      </c>
    </row>
    <row r="69" spans="1:21" x14ac:dyDescent="0.15">
      <c r="A69" s="32" t="s">
        <v>41</v>
      </c>
      <c r="B69" s="109">
        <f>'4P 3PH rating '!B69*1.03</f>
        <v>978.5</v>
      </c>
      <c r="C69" s="110">
        <f t="shared" si="21"/>
        <v>782.80000000000007</v>
      </c>
      <c r="D69" s="109">
        <f>'4P 3PH rating '!D69*1.03</f>
        <v>1030</v>
      </c>
      <c r="E69" s="110">
        <f t="shared" si="21"/>
        <v>824</v>
      </c>
      <c r="F69" s="109">
        <f>'4P 3PH rating '!F69*1.03</f>
        <v>1030</v>
      </c>
      <c r="G69" s="110">
        <f t="shared" si="21"/>
        <v>824</v>
      </c>
      <c r="H69" s="109">
        <f>'4P 3PH rating '!H69*1.03</f>
        <v>937.30000000000007</v>
      </c>
      <c r="I69" s="110">
        <f t="shared" si="21"/>
        <v>749.84000000000015</v>
      </c>
      <c r="J69" s="107">
        <f>'4P 3PH rating '!J69*1.03</f>
        <v>1287.5</v>
      </c>
      <c r="K69" s="108">
        <f>J69*0.8</f>
        <v>1030</v>
      </c>
      <c r="L69" s="107">
        <f>'4P 3PH rating '!L69*1.03</f>
        <v>1287.5</v>
      </c>
      <c r="M69" s="108">
        <f>L69*0.8</f>
        <v>1030</v>
      </c>
      <c r="N69" s="113">
        <f>'4P 3PH rating '!N69*1.03</f>
        <v>1115.49</v>
      </c>
      <c r="O69" s="114">
        <f t="shared" si="17"/>
        <v>892.39200000000005</v>
      </c>
      <c r="P69" s="113">
        <f>'4P 3PH rating '!P69*1.03</f>
        <v>1179.3500000000001</v>
      </c>
      <c r="Q69" s="114">
        <f t="shared" si="18"/>
        <v>943.48000000000013</v>
      </c>
      <c r="R69" s="113">
        <f>'4P 3PH rating '!R69*1.03</f>
        <v>1232.9100000000001</v>
      </c>
      <c r="S69" s="114">
        <f t="shared" si="19"/>
        <v>986.32800000000009</v>
      </c>
      <c r="T69" s="113">
        <f>'4P 3PH rating '!T69*1.03</f>
        <v>1287.5</v>
      </c>
      <c r="U69" s="114">
        <f t="shared" si="20"/>
        <v>1030</v>
      </c>
    </row>
    <row r="70" spans="1:21" x14ac:dyDescent="0.15">
      <c r="A70" s="32" t="s">
        <v>42</v>
      </c>
      <c r="B70" s="109">
        <f>'4P 3PH rating '!B70*1.03</f>
        <v>1122.7</v>
      </c>
      <c r="C70" s="110">
        <f t="shared" si="21"/>
        <v>898.16000000000008</v>
      </c>
      <c r="D70" s="109">
        <f>'4P 3PH rating '!D70*1.03</f>
        <v>1163.9000000000001</v>
      </c>
      <c r="E70" s="110">
        <f t="shared" si="21"/>
        <v>931.12000000000012</v>
      </c>
      <c r="F70" s="109">
        <f>'4P 3PH rating '!F70*1.03</f>
        <v>1163.9000000000001</v>
      </c>
      <c r="G70" s="110">
        <f t="shared" si="21"/>
        <v>931.12000000000012</v>
      </c>
      <c r="H70" s="109">
        <f>'4P 3PH rating '!H70*1.03</f>
        <v>1055.75</v>
      </c>
      <c r="I70" s="110">
        <f t="shared" si="21"/>
        <v>844.6</v>
      </c>
      <c r="J70" s="107">
        <f>'4P 3PH rating '!J70*1.03</f>
        <v>1359.6000000000001</v>
      </c>
      <c r="K70" s="108">
        <f>J70*0.8</f>
        <v>1087.68</v>
      </c>
      <c r="L70" s="107">
        <f>'4P 3PH rating '!L70*1.03</f>
        <v>1359.6000000000001</v>
      </c>
      <c r="M70" s="108">
        <f>L70*0.8</f>
        <v>1087.68</v>
      </c>
      <c r="N70" s="113">
        <f>'4P 3PH rating '!N70*1.03</f>
        <v>1240.1200000000001</v>
      </c>
      <c r="O70" s="114">
        <f t="shared" si="17"/>
        <v>992.09600000000012</v>
      </c>
      <c r="P70" s="113">
        <f>'4P 3PH rating '!P70*1.03</f>
        <v>1312.22</v>
      </c>
      <c r="Q70" s="114">
        <f t="shared" si="18"/>
        <v>1049.7760000000001</v>
      </c>
      <c r="R70" s="113">
        <f>'4P 3PH rating '!R70*1.03</f>
        <v>1371.96</v>
      </c>
      <c r="S70" s="114">
        <f t="shared" si="19"/>
        <v>1097.568</v>
      </c>
      <c r="T70" s="113">
        <f>'4P 3PH rating '!T70*1.03</f>
        <v>1431.7</v>
      </c>
      <c r="U70" s="114">
        <f t="shared" si="20"/>
        <v>1145.3600000000001</v>
      </c>
    </row>
    <row r="71" spans="1:21" ht="15" customHeight="1" x14ac:dyDescent="0.15">
      <c r="A71" s="32" t="s">
        <v>12</v>
      </c>
      <c r="B71" s="109">
        <f>'4P 3PH rating '!B71*1.03</f>
        <v>1225.7</v>
      </c>
      <c r="C71" s="110">
        <f t="shared" si="21"/>
        <v>980.56000000000006</v>
      </c>
      <c r="D71" s="109">
        <f>'4P 3PH rating '!D71*1.03</f>
        <v>1287.5</v>
      </c>
      <c r="E71" s="110">
        <f t="shared" si="21"/>
        <v>1030</v>
      </c>
      <c r="F71" s="109">
        <f>'4P 3PH rating '!F71*1.03</f>
        <v>1287.5</v>
      </c>
      <c r="G71" s="110">
        <f t="shared" si="21"/>
        <v>1030</v>
      </c>
      <c r="H71" s="109">
        <f>'4P 3PH rating '!H71*1.03</f>
        <v>1169.05</v>
      </c>
      <c r="I71" s="110">
        <f t="shared" si="21"/>
        <v>935.24</v>
      </c>
      <c r="J71" s="107">
        <f>'4P 3PH rating '!J71*1.03</f>
        <v>1545</v>
      </c>
      <c r="K71" s="108">
        <f>J71*0.8</f>
        <v>1236</v>
      </c>
      <c r="L71" s="107" t="s">
        <v>184</v>
      </c>
      <c r="M71" s="104" t="s">
        <v>184</v>
      </c>
      <c r="N71" s="113">
        <f>'4P 3PH rating '!N71*1.03</f>
        <v>1349.3</v>
      </c>
      <c r="O71" s="114">
        <f t="shared" si="17"/>
        <v>1079.44</v>
      </c>
      <c r="P71" s="113">
        <f>'4P 3PH rating '!P71*1.03</f>
        <v>1427.58</v>
      </c>
      <c r="Q71" s="114">
        <f t="shared" si="18"/>
        <v>1142.0640000000001</v>
      </c>
      <c r="R71" s="113">
        <f>'4P 3PH rating '!R71*1.03</f>
        <v>1492.47</v>
      </c>
      <c r="S71" s="114">
        <f t="shared" si="19"/>
        <v>1193.9760000000001</v>
      </c>
      <c r="T71" s="113">
        <f>'4P 3PH rating '!T71*1.03</f>
        <v>1558.39</v>
      </c>
      <c r="U71" s="114">
        <f t="shared" si="20"/>
        <v>1246.7120000000002</v>
      </c>
    </row>
    <row r="72" spans="1:21" ht="19.5" customHeight="1" x14ac:dyDescent="0.15">
      <c r="A72" s="6"/>
      <c r="B72" s="111"/>
      <c r="C72" s="112"/>
      <c r="D72" s="111"/>
      <c r="E72" s="112"/>
      <c r="F72" s="111"/>
      <c r="G72" s="112"/>
      <c r="H72" s="112"/>
      <c r="I72" s="112"/>
      <c r="J72" s="5"/>
      <c r="K72" s="5"/>
      <c r="L72" s="5"/>
      <c r="M72" s="5"/>
      <c r="N72" s="115"/>
      <c r="O72" s="115"/>
      <c r="P72" s="115"/>
      <c r="Q72" s="115"/>
      <c r="R72" s="115"/>
      <c r="S72" s="115"/>
      <c r="T72" s="115"/>
      <c r="U72" s="115"/>
    </row>
    <row r="73" spans="1:21" ht="15.75" customHeight="1" x14ac:dyDescent="0.15">
      <c r="A73" s="32" t="s">
        <v>117</v>
      </c>
      <c r="B73" s="109">
        <f>'4P 3PH rating '!B73*1.03</f>
        <v>1400.8</v>
      </c>
      <c r="C73" s="110">
        <f t="shared" ref="C73:C79" si="22">B73*0.8</f>
        <v>1120.6400000000001</v>
      </c>
      <c r="D73" s="109">
        <f>'4P 3PH rating '!D73*1.03</f>
        <v>1442</v>
      </c>
      <c r="E73" s="110">
        <f t="shared" ref="E73:E79" si="23">D73*0.8</f>
        <v>1153.6000000000001</v>
      </c>
      <c r="F73" s="109">
        <f>'4P 3PH rating '!F73*1.03</f>
        <v>1442</v>
      </c>
      <c r="G73" s="110">
        <f t="shared" ref="G73:G79" si="24">F73*0.8</f>
        <v>1153.6000000000001</v>
      </c>
      <c r="H73" s="109">
        <f>'4P 3PH rating '!H73*1.03</f>
        <v>1416.25</v>
      </c>
      <c r="I73" s="110">
        <f t="shared" ref="I73:I79" si="25">H73*0.8</f>
        <v>1133</v>
      </c>
      <c r="J73" s="107">
        <v>1625</v>
      </c>
      <c r="K73" s="108">
        <f>J73*0.8</f>
        <v>1300</v>
      </c>
      <c r="L73" s="107" t="s">
        <v>184</v>
      </c>
      <c r="M73" s="104" t="s">
        <v>184</v>
      </c>
      <c r="N73" s="113">
        <f>'4P 3PH rating '!N73*1.03</f>
        <v>1570.75</v>
      </c>
      <c r="O73" s="114">
        <f t="shared" ref="O73:O79" si="26">N73*0.8</f>
        <v>1256.6000000000001</v>
      </c>
      <c r="P73" s="113">
        <f>'4P 3PH rating '!P73*1.03</f>
        <v>1673.75</v>
      </c>
      <c r="Q73" s="114">
        <f t="shared" ref="Q73:Q79" si="27">P73*0.8</f>
        <v>1339</v>
      </c>
      <c r="R73" s="113">
        <f>'4P 3PH rating '!R73*1.03</f>
        <v>1704.65</v>
      </c>
      <c r="S73" s="114">
        <f t="shared" ref="S73:S79" si="28">R73*0.8</f>
        <v>1363.7200000000003</v>
      </c>
      <c r="T73" s="113">
        <f>'4P 3PH rating '!T73*1.03</f>
        <v>1740.7</v>
      </c>
      <c r="U73" s="114">
        <f t="shared" ref="U73:U79" si="29">T73*0.8</f>
        <v>1392.5600000000002</v>
      </c>
    </row>
    <row r="74" spans="1:21" ht="15.75" customHeight="1" x14ac:dyDescent="0.15">
      <c r="A74" s="32" t="s">
        <v>118</v>
      </c>
      <c r="B74" s="109">
        <f>'4P 3PH rating '!B74*1.03</f>
        <v>1550.15</v>
      </c>
      <c r="C74" s="110">
        <f t="shared" si="22"/>
        <v>1240.1200000000001</v>
      </c>
      <c r="D74" s="109">
        <f>'4P 3PH rating '!D74*1.03</f>
        <v>1596.5</v>
      </c>
      <c r="E74" s="110">
        <f t="shared" si="23"/>
        <v>1277.2</v>
      </c>
      <c r="F74" s="109">
        <f>'4P 3PH rating '!F74*1.03</f>
        <v>1596.5</v>
      </c>
      <c r="G74" s="110">
        <f t="shared" si="24"/>
        <v>1277.2</v>
      </c>
      <c r="H74" s="109">
        <f>'4P 3PH rating '!H74*1.03</f>
        <v>1565.6000000000001</v>
      </c>
      <c r="I74" s="110">
        <f t="shared" si="25"/>
        <v>1252.4800000000002</v>
      </c>
      <c r="J74" s="107">
        <v>1845</v>
      </c>
      <c r="K74" s="108">
        <f>J74*0.8</f>
        <v>1476</v>
      </c>
      <c r="L74" s="107" t="s">
        <v>184</v>
      </c>
      <c r="M74" s="104" t="s">
        <v>184</v>
      </c>
      <c r="N74" s="113">
        <f>'4P 3PH rating '!N74*1.03</f>
        <v>1756.15</v>
      </c>
      <c r="O74" s="114">
        <f t="shared" si="26"/>
        <v>1404.92</v>
      </c>
      <c r="P74" s="113">
        <f>'4P 3PH rating '!P74*1.03</f>
        <v>1869.45</v>
      </c>
      <c r="Q74" s="114">
        <f t="shared" si="27"/>
        <v>1495.5600000000002</v>
      </c>
      <c r="R74" s="113">
        <f>'4P 3PH rating '!R74*1.03</f>
        <v>1910.65</v>
      </c>
      <c r="S74" s="114">
        <f t="shared" si="28"/>
        <v>1528.5200000000002</v>
      </c>
      <c r="T74" s="113">
        <f>'4P 3PH rating '!T74*1.03</f>
        <v>1946.7</v>
      </c>
      <c r="U74" s="114">
        <f t="shared" si="29"/>
        <v>1557.3600000000001</v>
      </c>
    </row>
    <row r="75" spans="1:21" ht="15.75" customHeight="1" x14ac:dyDescent="0.15">
      <c r="A75" s="32" t="s">
        <v>119</v>
      </c>
      <c r="B75" s="109">
        <f>'4P 3PH rating '!B75*1.03</f>
        <v>1663.45</v>
      </c>
      <c r="C75" s="110">
        <f t="shared" si="22"/>
        <v>1330.7600000000002</v>
      </c>
      <c r="D75" s="109">
        <f>'4P 3PH rating '!D75*1.03</f>
        <v>1699.5</v>
      </c>
      <c r="E75" s="110">
        <f t="shared" si="23"/>
        <v>1359.6000000000001</v>
      </c>
      <c r="F75" s="109">
        <f>'4P 3PH rating '!F75*1.03</f>
        <v>1699.5</v>
      </c>
      <c r="G75" s="110">
        <f t="shared" si="24"/>
        <v>1359.6000000000001</v>
      </c>
      <c r="H75" s="109">
        <f>'4P 3PH rating '!H75*1.03</f>
        <v>1668.6000000000001</v>
      </c>
      <c r="I75" s="110">
        <f t="shared" si="25"/>
        <v>1334.88</v>
      </c>
      <c r="J75" s="107">
        <v>1995</v>
      </c>
      <c r="K75" s="108">
        <f>J75*0.8</f>
        <v>1596</v>
      </c>
      <c r="L75" s="107" t="s">
        <v>184</v>
      </c>
      <c r="M75" s="104" t="s">
        <v>184</v>
      </c>
      <c r="N75" s="113">
        <f>'4P 3PH rating '!N75*1.03</f>
        <v>1869.45</v>
      </c>
      <c r="O75" s="114">
        <f t="shared" si="26"/>
        <v>1495.5600000000002</v>
      </c>
      <c r="P75" s="113">
        <f>'4P 3PH rating '!P75*1.03</f>
        <v>1993.05</v>
      </c>
      <c r="Q75" s="114">
        <f t="shared" si="27"/>
        <v>1594.44</v>
      </c>
      <c r="R75" s="113">
        <f>'4P 3PH rating '!R75*1.03</f>
        <v>2034.25</v>
      </c>
      <c r="S75" s="114">
        <f t="shared" si="28"/>
        <v>1627.4</v>
      </c>
      <c r="T75" s="113">
        <f>'4P 3PH rating '!T75*1.03</f>
        <v>2075.4500000000003</v>
      </c>
      <c r="U75" s="114">
        <f t="shared" si="29"/>
        <v>1660.3600000000004</v>
      </c>
    </row>
    <row r="76" spans="1:21" ht="15.75" customHeight="1" x14ac:dyDescent="0.15">
      <c r="A76" s="32" t="s">
        <v>120</v>
      </c>
      <c r="B76" s="109">
        <f>'4P 3PH rating '!B76*1.03</f>
        <v>1900.3500000000001</v>
      </c>
      <c r="C76" s="110">
        <f t="shared" si="22"/>
        <v>1520.2800000000002</v>
      </c>
      <c r="D76" s="109">
        <f>'4P 3PH rating '!D76*1.03</f>
        <v>1957</v>
      </c>
      <c r="E76" s="110">
        <f t="shared" si="23"/>
        <v>1565.6000000000001</v>
      </c>
      <c r="F76" s="109">
        <f>'4P 3PH rating '!F76*1.03</f>
        <v>1957</v>
      </c>
      <c r="G76" s="110">
        <f t="shared" si="24"/>
        <v>1565.6000000000001</v>
      </c>
      <c r="H76" s="109">
        <f>'4P 3PH rating '!H76*1.03</f>
        <v>1920.95</v>
      </c>
      <c r="I76" s="110">
        <f t="shared" si="25"/>
        <v>1536.7600000000002</v>
      </c>
      <c r="J76" s="107" t="s">
        <v>184</v>
      </c>
      <c r="K76" s="107" t="s">
        <v>184</v>
      </c>
      <c r="L76" s="107" t="s">
        <v>184</v>
      </c>
      <c r="M76" s="104" t="s">
        <v>184</v>
      </c>
      <c r="N76" s="113">
        <f>'4P 3PH rating '!N76*1.03</f>
        <v>2132.1</v>
      </c>
      <c r="O76" s="114">
        <f t="shared" si="26"/>
        <v>1705.68</v>
      </c>
      <c r="P76" s="113">
        <f>'4P 3PH rating '!P76*1.03</f>
        <v>2276.3000000000002</v>
      </c>
      <c r="Q76" s="114">
        <f t="shared" si="27"/>
        <v>1821.0400000000002</v>
      </c>
      <c r="R76" s="113">
        <f>'4P 3PH rating '!R76*1.03</f>
        <v>2317.5</v>
      </c>
      <c r="S76" s="114">
        <f t="shared" si="28"/>
        <v>1854</v>
      </c>
      <c r="T76" s="113">
        <f>'4P 3PH rating '!T76*1.03</f>
        <v>2369</v>
      </c>
      <c r="U76" s="114">
        <f t="shared" si="29"/>
        <v>1895.2</v>
      </c>
    </row>
    <row r="77" spans="1:21" ht="15.75" customHeight="1" x14ac:dyDescent="0.15">
      <c r="A77" s="32" t="s">
        <v>121</v>
      </c>
      <c r="B77" s="109">
        <f>'4P 3PH rating '!B77*1.03</f>
        <v>2080.6</v>
      </c>
      <c r="C77" s="110">
        <f t="shared" si="22"/>
        <v>1664.48</v>
      </c>
      <c r="D77" s="109">
        <f>'4P 3PH rating '!D77*1.03</f>
        <v>2142.4</v>
      </c>
      <c r="E77" s="110">
        <f t="shared" si="23"/>
        <v>1713.92</v>
      </c>
      <c r="F77" s="109">
        <f>'4P 3PH rating '!F77*1.03</f>
        <v>2142.4</v>
      </c>
      <c r="G77" s="110">
        <f t="shared" si="24"/>
        <v>1713.92</v>
      </c>
      <c r="H77" s="109">
        <f>'4P 3PH rating '!H77*1.03</f>
        <v>2101.2000000000003</v>
      </c>
      <c r="I77" s="110">
        <f t="shared" si="25"/>
        <v>1680.9600000000003</v>
      </c>
      <c r="J77" s="107">
        <v>2605</v>
      </c>
      <c r="K77" s="108">
        <f>J77*0.8</f>
        <v>2084</v>
      </c>
      <c r="L77" s="107" t="s">
        <v>184</v>
      </c>
      <c r="M77" s="104" t="s">
        <v>184</v>
      </c>
      <c r="N77" s="113">
        <f>'4P 3PH rating '!N77*1.03</f>
        <v>2415.35</v>
      </c>
      <c r="O77" s="114">
        <f t="shared" si="26"/>
        <v>1932.28</v>
      </c>
      <c r="P77" s="113">
        <f>'4P 3PH rating '!P77*1.03</f>
        <v>2575</v>
      </c>
      <c r="Q77" s="114">
        <f t="shared" si="27"/>
        <v>2060</v>
      </c>
      <c r="R77" s="113">
        <f>'4P 3PH rating '!R77*1.03</f>
        <v>2626.5</v>
      </c>
      <c r="S77" s="114">
        <f t="shared" si="28"/>
        <v>2101.2000000000003</v>
      </c>
      <c r="T77" s="113">
        <f>'4P 3PH rating '!T77*1.03</f>
        <v>2678</v>
      </c>
      <c r="U77" s="114">
        <f t="shared" si="29"/>
        <v>2142.4</v>
      </c>
    </row>
    <row r="78" spans="1:21" ht="15.75" customHeight="1" x14ac:dyDescent="0.15">
      <c r="A78" s="32" t="s">
        <v>122</v>
      </c>
      <c r="B78" s="109">
        <f>'4P 3PH rating '!B78*1.03</f>
        <v>2199.0500000000002</v>
      </c>
      <c r="C78" s="110">
        <f t="shared" si="22"/>
        <v>1759.2400000000002</v>
      </c>
      <c r="D78" s="109">
        <f>'4P 3PH rating '!D78*1.03</f>
        <v>2266</v>
      </c>
      <c r="E78" s="110">
        <f t="shared" si="23"/>
        <v>1812.8000000000002</v>
      </c>
      <c r="F78" s="109">
        <f>'4P 3PH rating '!F78*1.03</f>
        <v>2266</v>
      </c>
      <c r="G78" s="110">
        <f t="shared" si="24"/>
        <v>1812.8000000000002</v>
      </c>
      <c r="H78" s="109">
        <f>'4P 3PH rating '!H78*1.03</f>
        <v>2224.8000000000002</v>
      </c>
      <c r="I78" s="110">
        <f t="shared" si="25"/>
        <v>1779.8400000000001</v>
      </c>
      <c r="J78" s="107" t="s">
        <v>184</v>
      </c>
      <c r="K78" s="107" t="s">
        <v>184</v>
      </c>
      <c r="L78" s="107" t="s">
        <v>184</v>
      </c>
      <c r="M78" s="104" t="s">
        <v>184</v>
      </c>
      <c r="N78" s="113">
        <f>'4P 3PH rating '!N78*1.03</f>
        <v>2492.6</v>
      </c>
      <c r="O78" s="114">
        <f t="shared" si="26"/>
        <v>1994.08</v>
      </c>
      <c r="P78" s="113">
        <f>'4P 3PH rating '!P78*1.03</f>
        <v>2611.0500000000002</v>
      </c>
      <c r="Q78" s="114">
        <f t="shared" si="27"/>
        <v>2088.84</v>
      </c>
      <c r="R78" s="113">
        <f>'4P 3PH rating '!R78*1.03</f>
        <v>2703.75</v>
      </c>
      <c r="S78" s="114">
        <f t="shared" si="28"/>
        <v>2163</v>
      </c>
      <c r="T78" s="113">
        <f>'4P 3PH rating '!T78*1.03</f>
        <v>2832.5</v>
      </c>
      <c r="U78" s="114">
        <f t="shared" si="29"/>
        <v>2266</v>
      </c>
    </row>
    <row r="79" spans="1:21" ht="15.75" customHeight="1" x14ac:dyDescent="0.15">
      <c r="A79" s="32" t="s">
        <v>123</v>
      </c>
      <c r="B79" s="109">
        <f>'4P 3PH rating '!B79*1.03</f>
        <v>2338.1</v>
      </c>
      <c r="C79" s="110">
        <f t="shared" si="22"/>
        <v>1870.48</v>
      </c>
      <c r="D79" s="109">
        <f>'4P 3PH rating '!D79*1.03</f>
        <v>2410.2000000000003</v>
      </c>
      <c r="E79" s="110">
        <f t="shared" si="23"/>
        <v>1928.1600000000003</v>
      </c>
      <c r="F79" s="109">
        <f>'4P 3PH rating '!F79*1.03</f>
        <v>2410.2000000000003</v>
      </c>
      <c r="G79" s="110">
        <f t="shared" si="24"/>
        <v>1928.1600000000003</v>
      </c>
      <c r="H79" s="109">
        <f>'4P 3PH rating '!H79*1.03</f>
        <v>2369</v>
      </c>
      <c r="I79" s="110">
        <f t="shared" si="25"/>
        <v>1895.2</v>
      </c>
      <c r="J79" s="107" t="s">
        <v>184</v>
      </c>
      <c r="K79" s="107" t="s">
        <v>184</v>
      </c>
      <c r="L79" s="107" t="s">
        <v>184</v>
      </c>
      <c r="M79" s="104" t="s">
        <v>184</v>
      </c>
      <c r="N79" s="113">
        <f>'4P 3PH rating '!N79*1.03</f>
        <v>2600.75</v>
      </c>
      <c r="O79" s="114">
        <f t="shared" si="26"/>
        <v>2080.6</v>
      </c>
      <c r="P79" s="113">
        <f>'4P 3PH rating '!P79*1.03</f>
        <v>2719.2000000000003</v>
      </c>
      <c r="Q79" s="114">
        <f t="shared" si="27"/>
        <v>2175.36</v>
      </c>
      <c r="R79" s="113">
        <f>'4P 3PH rating '!R79*1.03</f>
        <v>2806.75</v>
      </c>
      <c r="S79" s="114">
        <f t="shared" si="28"/>
        <v>2245.4</v>
      </c>
      <c r="T79" s="113">
        <f>'4P 3PH rating '!T79*1.03</f>
        <v>2914.9</v>
      </c>
      <c r="U79" s="114">
        <f t="shared" si="29"/>
        <v>2331.92</v>
      </c>
    </row>
    <row r="80" spans="1:21" ht="19.5" customHeight="1" x14ac:dyDescent="0.15">
      <c r="A80" s="69"/>
      <c r="B80" s="70"/>
      <c r="C80" s="71"/>
      <c r="D80" s="70"/>
      <c r="E80" s="71"/>
      <c r="F80" s="70"/>
      <c r="G80" s="71"/>
      <c r="H80" s="71"/>
      <c r="I80" s="71"/>
      <c r="J80" s="71"/>
      <c r="K80" s="71"/>
      <c r="L80" s="71"/>
      <c r="M80" s="71"/>
      <c r="N80" s="72"/>
      <c r="O80" s="72"/>
      <c r="P80" s="72"/>
      <c r="Q80" s="72"/>
      <c r="R80" s="72"/>
      <c r="S80" s="72"/>
      <c r="T80" s="72"/>
      <c r="U80" s="72"/>
    </row>
    <row r="81" spans="1:2" ht="19.5" customHeight="1" x14ac:dyDescent="0.15">
      <c r="B81" s="70"/>
    </row>
    <row r="82" spans="1:2" x14ac:dyDescent="0.15">
      <c r="A82" s="57" t="s">
        <v>56</v>
      </c>
    </row>
    <row r="83" spans="1:2" x14ac:dyDescent="0.15">
      <c r="A83" s="16" t="s">
        <v>75</v>
      </c>
    </row>
    <row r="84" spans="1:2" x14ac:dyDescent="0.15">
      <c r="A84" s="57" t="s">
        <v>108</v>
      </c>
    </row>
    <row r="85" spans="1:2" x14ac:dyDescent="0.15">
      <c r="A85" s="57" t="s">
        <v>186</v>
      </c>
    </row>
    <row r="86" spans="1:2" x14ac:dyDescent="0.15">
      <c r="A86" s="57" t="s">
        <v>124</v>
      </c>
    </row>
  </sheetData>
  <mergeCells count="145">
    <mergeCell ref="A1:U1"/>
    <mergeCell ref="B2:I2"/>
    <mergeCell ref="J2:U2"/>
    <mergeCell ref="B3:C3"/>
    <mergeCell ref="D3:E3"/>
    <mergeCell ref="F3:G3"/>
    <mergeCell ref="T3:U3"/>
    <mergeCell ref="P6:Q6"/>
    <mergeCell ref="R6:S6"/>
    <mergeCell ref="P3:Q3"/>
    <mergeCell ref="R3:S3"/>
    <mergeCell ref="L3:M3"/>
    <mergeCell ref="N3:O3"/>
    <mergeCell ref="N5:O5"/>
    <mergeCell ref="P5:Q5"/>
    <mergeCell ref="B5:C5"/>
    <mergeCell ref="D5:E5"/>
    <mergeCell ref="F5:G5"/>
    <mergeCell ref="H5:I5"/>
    <mergeCell ref="J5:K5"/>
    <mergeCell ref="H3:I3"/>
    <mergeCell ref="J3:K3"/>
    <mergeCell ref="P7:Q7"/>
    <mergeCell ref="R7:S7"/>
    <mergeCell ref="R5:S5"/>
    <mergeCell ref="T5:U5"/>
    <mergeCell ref="B6:C6"/>
    <mergeCell ref="D6:E6"/>
    <mergeCell ref="F6:G6"/>
    <mergeCell ref="H6:I6"/>
    <mergeCell ref="J6:K6"/>
    <mergeCell ref="N6:O6"/>
    <mergeCell ref="P8:Q8"/>
    <mergeCell ref="R8:S8"/>
    <mergeCell ref="T6:U6"/>
    <mergeCell ref="B7:C7"/>
    <mergeCell ref="D7:E7"/>
    <mergeCell ref="F7:G7"/>
    <mergeCell ref="H7:I7"/>
    <mergeCell ref="J7:K7"/>
    <mergeCell ref="L7:M7"/>
    <mergeCell ref="N7:O7"/>
    <mergeCell ref="P9:Q9"/>
    <mergeCell ref="R9:S9"/>
    <mergeCell ref="T7:U7"/>
    <mergeCell ref="B8:C8"/>
    <mergeCell ref="D8:E8"/>
    <mergeCell ref="F8:G8"/>
    <mergeCell ref="H8:I8"/>
    <mergeCell ref="J8:K8"/>
    <mergeCell ref="L8:M8"/>
    <mergeCell ref="N8:O8"/>
    <mergeCell ref="R10:S10"/>
    <mergeCell ref="T10:U10"/>
    <mergeCell ref="T8:U8"/>
    <mergeCell ref="B9:C9"/>
    <mergeCell ref="D9:E9"/>
    <mergeCell ref="F9:G9"/>
    <mergeCell ref="H9:I9"/>
    <mergeCell ref="J9:K9"/>
    <mergeCell ref="L9:M9"/>
    <mergeCell ref="N9:O9"/>
    <mergeCell ref="J11:K11"/>
    <mergeCell ref="L11:M11"/>
    <mergeCell ref="T9:U9"/>
    <mergeCell ref="B10:C10"/>
    <mergeCell ref="D10:E10"/>
    <mergeCell ref="F10:G10"/>
    <mergeCell ref="H10:I10"/>
    <mergeCell ref="L10:M10"/>
    <mergeCell ref="N10:O10"/>
    <mergeCell ref="P10:Q10"/>
    <mergeCell ref="N11:O11"/>
    <mergeCell ref="P11:Q11"/>
    <mergeCell ref="R11:S11"/>
    <mergeCell ref="T11:U11"/>
    <mergeCell ref="B56:I56"/>
    <mergeCell ref="J56:U56"/>
    <mergeCell ref="B11:C11"/>
    <mergeCell ref="D11:E11"/>
    <mergeCell ref="F11:G11"/>
    <mergeCell ref="H11:I11"/>
    <mergeCell ref="B57:C57"/>
    <mergeCell ref="D57:E57"/>
    <mergeCell ref="F57:G57"/>
    <mergeCell ref="H57:I57"/>
    <mergeCell ref="J57:K57"/>
    <mergeCell ref="P57:Q57"/>
    <mergeCell ref="R57:S57"/>
    <mergeCell ref="T57:U57"/>
    <mergeCell ref="B59:C59"/>
    <mergeCell ref="D59:E59"/>
    <mergeCell ref="F59:G59"/>
    <mergeCell ref="H59:I59"/>
    <mergeCell ref="J59:K59"/>
    <mergeCell ref="P59:Q59"/>
    <mergeCell ref="R59:S59"/>
    <mergeCell ref="T59:U59"/>
    <mergeCell ref="R61:S61"/>
    <mergeCell ref="B60:C60"/>
    <mergeCell ref="D60:E60"/>
    <mergeCell ref="F60:G60"/>
    <mergeCell ref="H60:I60"/>
    <mergeCell ref="J60:K60"/>
    <mergeCell ref="P60:Q60"/>
    <mergeCell ref="R62:S62"/>
    <mergeCell ref="R60:S60"/>
    <mergeCell ref="T60:U60"/>
    <mergeCell ref="B61:C61"/>
    <mergeCell ref="D61:E61"/>
    <mergeCell ref="F61:G61"/>
    <mergeCell ref="H61:I61"/>
    <mergeCell ref="J61:K61"/>
    <mergeCell ref="L61:M61"/>
    <mergeCell ref="P61:Q61"/>
    <mergeCell ref="T63:U63"/>
    <mergeCell ref="T61:U61"/>
    <mergeCell ref="B62:C62"/>
    <mergeCell ref="D62:E62"/>
    <mergeCell ref="F62:G62"/>
    <mergeCell ref="H62:I62"/>
    <mergeCell ref="J62:K62"/>
    <mergeCell ref="L62:M62"/>
    <mergeCell ref="N62:O62"/>
    <mergeCell ref="P62:Q62"/>
    <mergeCell ref="P64:Q64"/>
    <mergeCell ref="T62:U62"/>
    <mergeCell ref="B63:C63"/>
    <mergeCell ref="D63:E63"/>
    <mergeCell ref="F63:G63"/>
    <mergeCell ref="H63:I63"/>
    <mergeCell ref="J63:K63"/>
    <mergeCell ref="L63:M63"/>
    <mergeCell ref="P63:Q63"/>
    <mergeCell ref="R63:S63"/>
    <mergeCell ref="R64:S64"/>
    <mergeCell ref="T64:U64"/>
    <mergeCell ref="N59:O59"/>
    <mergeCell ref="N60:O60"/>
    <mergeCell ref="N61:O61"/>
    <mergeCell ref="B64:C64"/>
    <mergeCell ref="D64:E64"/>
    <mergeCell ref="F64:G64"/>
    <mergeCell ref="H64:I64"/>
    <mergeCell ref="J64:K64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62" fitToHeight="2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6"/>
  <sheetViews>
    <sheetView zoomScale="90" zoomScaleNormal="90" workbookViewId="0">
      <pane xSplit="1" ySplit="12" topLeftCell="B63" activePane="bottomRight" state="frozen"/>
      <selection pane="topRight" activeCell="B1" sqref="B1"/>
      <selection pane="bottomLeft" activeCell="A13" sqref="A13"/>
      <selection pane="bottomRight" activeCell="H73" sqref="H73"/>
    </sheetView>
  </sheetViews>
  <sheetFormatPr defaultColWidth="9" defaultRowHeight="14.25" x14ac:dyDescent="0.15"/>
  <cols>
    <col min="1" max="1" width="22.875" customWidth="1"/>
    <col min="2" max="8" width="7" customWidth="1"/>
    <col min="9" max="9" width="7.125" customWidth="1"/>
    <col min="10" max="10" width="7.375" customWidth="1"/>
    <col min="11" max="11" width="6.875" customWidth="1"/>
    <col min="12" max="14" width="8.5" customWidth="1"/>
    <col min="15" max="21" width="7.875" customWidth="1"/>
  </cols>
  <sheetData>
    <row r="1" spans="1:21" ht="24.75" customHeight="1" x14ac:dyDescent="0.15">
      <c r="A1" s="132" t="s">
        <v>86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1" ht="14.1" customHeight="1" x14ac:dyDescent="0.15">
      <c r="A2" s="24" t="s">
        <v>68</v>
      </c>
      <c r="B2" s="139" t="s">
        <v>66</v>
      </c>
      <c r="C2" s="140"/>
      <c r="D2" s="140"/>
      <c r="E2" s="140"/>
      <c r="F2" s="140"/>
      <c r="G2" s="140"/>
      <c r="H2" s="140"/>
      <c r="I2" s="141"/>
      <c r="J2" s="135" t="s">
        <v>67</v>
      </c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6"/>
    </row>
    <row r="3" spans="1:21" ht="14.1" customHeight="1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28">
        <v>0.8</v>
      </c>
      <c r="I3" s="129"/>
      <c r="J3" s="130">
        <v>0.8</v>
      </c>
      <c r="K3" s="131"/>
      <c r="L3" s="130">
        <v>0.8</v>
      </c>
      <c r="M3" s="131"/>
      <c r="N3" s="130">
        <v>0.8</v>
      </c>
      <c r="O3" s="131"/>
      <c r="P3" s="130">
        <v>0.8</v>
      </c>
      <c r="Q3" s="131"/>
      <c r="R3" s="130">
        <v>0.8</v>
      </c>
      <c r="S3" s="131"/>
      <c r="T3" s="130">
        <v>0.8</v>
      </c>
      <c r="U3" s="131"/>
    </row>
    <row r="4" spans="1:21" ht="14.1" customHeight="1" x14ac:dyDescent="0.15">
      <c r="A4" s="24" t="s">
        <v>59</v>
      </c>
      <c r="B4" s="17"/>
      <c r="C4" s="18"/>
      <c r="D4" s="17"/>
      <c r="E4" s="18"/>
      <c r="F4" s="17"/>
      <c r="G4" s="18"/>
      <c r="H4" s="53"/>
      <c r="I4" s="53"/>
      <c r="J4" s="20"/>
      <c r="K4" s="21"/>
      <c r="L4" s="20"/>
      <c r="M4" s="21"/>
      <c r="N4" s="20"/>
      <c r="O4" s="21"/>
      <c r="P4" s="20"/>
      <c r="Q4" s="21"/>
      <c r="R4" s="20"/>
      <c r="S4" s="21"/>
      <c r="T4" s="20"/>
      <c r="U4" s="21"/>
    </row>
    <row r="5" spans="1:21" ht="14.1" customHeight="1" x14ac:dyDescent="0.15">
      <c r="A5" s="24" t="s">
        <v>104</v>
      </c>
      <c r="B5" s="128">
        <v>380</v>
      </c>
      <c r="C5" s="129"/>
      <c r="D5" s="137">
        <v>400</v>
      </c>
      <c r="E5" s="137"/>
      <c r="F5" s="128">
        <v>415</v>
      </c>
      <c r="G5" s="129"/>
      <c r="H5" s="128">
        <v>440</v>
      </c>
      <c r="I5" s="129"/>
      <c r="J5" s="130" t="s">
        <v>48</v>
      </c>
      <c r="K5" s="131"/>
      <c r="L5" s="20"/>
      <c r="M5" s="21"/>
      <c r="N5" s="126">
        <v>416</v>
      </c>
      <c r="O5" s="127"/>
      <c r="P5" s="130">
        <v>440</v>
      </c>
      <c r="Q5" s="131"/>
      <c r="R5" s="130">
        <v>460</v>
      </c>
      <c r="S5" s="131"/>
      <c r="T5" s="130">
        <v>480</v>
      </c>
      <c r="U5" s="131"/>
    </row>
    <row r="6" spans="1:21" ht="14.1" customHeight="1" x14ac:dyDescent="0.15">
      <c r="A6" s="24" t="s">
        <v>105</v>
      </c>
      <c r="B6" s="128">
        <v>220</v>
      </c>
      <c r="C6" s="129"/>
      <c r="D6" s="128">
        <v>230</v>
      </c>
      <c r="E6" s="129"/>
      <c r="F6" s="128">
        <v>240</v>
      </c>
      <c r="G6" s="129"/>
      <c r="H6" s="128">
        <v>254</v>
      </c>
      <c r="I6" s="129"/>
      <c r="J6" s="130" t="s">
        <v>50</v>
      </c>
      <c r="K6" s="131"/>
      <c r="L6" s="20"/>
      <c r="M6" s="21"/>
      <c r="N6" s="126">
        <v>240</v>
      </c>
      <c r="O6" s="127"/>
      <c r="P6" s="126">
        <v>254</v>
      </c>
      <c r="Q6" s="127"/>
      <c r="R6" s="126">
        <v>266</v>
      </c>
      <c r="S6" s="127"/>
      <c r="T6" s="126">
        <v>277</v>
      </c>
      <c r="U6" s="127"/>
    </row>
    <row r="7" spans="1:21" ht="14.1" customHeight="1" x14ac:dyDescent="0.15">
      <c r="A7" s="24" t="s">
        <v>106</v>
      </c>
      <c r="B7" s="128">
        <v>380</v>
      </c>
      <c r="C7" s="129"/>
      <c r="D7" s="137">
        <v>400</v>
      </c>
      <c r="E7" s="137"/>
      <c r="F7" s="128">
        <v>415</v>
      </c>
      <c r="G7" s="129"/>
      <c r="H7" s="128">
        <v>440</v>
      </c>
      <c r="I7" s="129"/>
      <c r="J7" s="135" t="s">
        <v>53</v>
      </c>
      <c r="K7" s="136"/>
      <c r="L7" s="130" t="s">
        <v>48</v>
      </c>
      <c r="M7" s="131"/>
      <c r="N7" s="126">
        <v>416</v>
      </c>
      <c r="O7" s="127"/>
      <c r="P7" s="130">
        <v>440</v>
      </c>
      <c r="Q7" s="131"/>
      <c r="R7" s="130">
        <v>460</v>
      </c>
      <c r="S7" s="131"/>
      <c r="T7" s="130">
        <v>480</v>
      </c>
      <c r="U7" s="131"/>
    </row>
    <row r="8" spans="1:21" ht="14.1" customHeight="1" x14ac:dyDescent="0.15">
      <c r="A8" s="24" t="s">
        <v>107</v>
      </c>
      <c r="B8" s="128">
        <v>190</v>
      </c>
      <c r="C8" s="129"/>
      <c r="D8" s="128">
        <v>200</v>
      </c>
      <c r="E8" s="129"/>
      <c r="F8" s="128">
        <v>208</v>
      </c>
      <c r="G8" s="129"/>
      <c r="H8" s="128">
        <v>220</v>
      </c>
      <c r="I8" s="129"/>
      <c r="J8" s="130" t="s">
        <v>53</v>
      </c>
      <c r="K8" s="131"/>
      <c r="L8" s="130" t="s">
        <v>49</v>
      </c>
      <c r="M8" s="131"/>
      <c r="N8" s="126">
        <v>208</v>
      </c>
      <c r="O8" s="127"/>
      <c r="P8" s="126">
        <v>220</v>
      </c>
      <c r="Q8" s="127"/>
      <c r="R8" s="126">
        <v>230</v>
      </c>
      <c r="S8" s="127"/>
      <c r="T8" s="126">
        <v>240</v>
      </c>
      <c r="U8" s="127"/>
    </row>
    <row r="9" spans="1:21" ht="14.1" customHeight="1" x14ac:dyDescent="0.15">
      <c r="A9" s="25" t="s">
        <v>62</v>
      </c>
      <c r="B9" s="128">
        <v>220</v>
      </c>
      <c r="C9" s="129"/>
      <c r="D9" s="128">
        <v>230</v>
      </c>
      <c r="E9" s="129"/>
      <c r="F9" s="128">
        <v>240</v>
      </c>
      <c r="G9" s="129"/>
      <c r="H9" s="128">
        <v>254</v>
      </c>
      <c r="I9" s="129"/>
      <c r="J9" s="135" t="s">
        <v>53</v>
      </c>
      <c r="K9" s="136"/>
      <c r="L9" s="130" t="s">
        <v>50</v>
      </c>
      <c r="M9" s="131"/>
      <c r="N9" s="126">
        <v>240</v>
      </c>
      <c r="O9" s="127"/>
      <c r="P9" s="126">
        <v>254</v>
      </c>
      <c r="Q9" s="127"/>
      <c r="R9" s="126">
        <v>266</v>
      </c>
      <c r="S9" s="127"/>
      <c r="T9" s="126">
        <v>277</v>
      </c>
      <c r="U9" s="127"/>
    </row>
    <row r="10" spans="1:21" ht="14.1" customHeight="1" x14ac:dyDescent="0.15">
      <c r="A10" s="68" t="s">
        <v>115</v>
      </c>
      <c r="B10" s="128">
        <f>B9/2</f>
        <v>110</v>
      </c>
      <c r="C10" s="129"/>
      <c r="D10" s="128">
        <f>D9/2</f>
        <v>115</v>
      </c>
      <c r="E10" s="129"/>
      <c r="F10" s="128">
        <f>F9/2</f>
        <v>120</v>
      </c>
      <c r="G10" s="129"/>
      <c r="H10" s="128">
        <f>H9/2</f>
        <v>127</v>
      </c>
      <c r="I10" s="129"/>
      <c r="J10" s="66"/>
      <c r="K10" s="67"/>
      <c r="L10" s="130" t="s">
        <v>116</v>
      </c>
      <c r="M10" s="131"/>
      <c r="N10" s="126">
        <f>N9/2</f>
        <v>120</v>
      </c>
      <c r="O10" s="127"/>
      <c r="P10" s="126">
        <f>P9/2</f>
        <v>127</v>
      </c>
      <c r="Q10" s="127"/>
      <c r="R10" s="126">
        <f>R9/2</f>
        <v>133</v>
      </c>
      <c r="S10" s="127"/>
      <c r="T10" s="126">
        <f>T9/2</f>
        <v>138.5</v>
      </c>
      <c r="U10" s="127"/>
    </row>
    <row r="11" spans="1:21" ht="14.1" customHeight="1" x14ac:dyDescent="0.15">
      <c r="A11" s="25" t="s">
        <v>63</v>
      </c>
      <c r="B11" s="128">
        <v>11</v>
      </c>
      <c r="C11" s="129"/>
      <c r="D11" s="128">
        <v>11</v>
      </c>
      <c r="E11" s="129"/>
      <c r="F11" s="128">
        <v>11</v>
      </c>
      <c r="G11" s="129"/>
      <c r="H11" s="128">
        <v>11</v>
      </c>
      <c r="I11" s="129"/>
      <c r="J11" s="130">
        <v>13</v>
      </c>
      <c r="K11" s="131"/>
      <c r="L11" s="130">
        <v>14</v>
      </c>
      <c r="M11" s="131"/>
      <c r="N11" s="126">
        <v>11</v>
      </c>
      <c r="O11" s="127"/>
      <c r="P11" s="126">
        <v>11</v>
      </c>
      <c r="Q11" s="127"/>
      <c r="R11" s="126">
        <v>11</v>
      </c>
      <c r="S11" s="127"/>
      <c r="T11" s="126">
        <v>11</v>
      </c>
      <c r="U11" s="127"/>
    </row>
    <row r="12" spans="1:21" ht="14.1" customHeight="1" x14ac:dyDescent="0.15">
      <c r="A12" s="36" t="s">
        <v>64</v>
      </c>
      <c r="B12" s="19" t="s">
        <v>0</v>
      </c>
      <c r="C12" s="19" t="s">
        <v>1</v>
      </c>
      <c r="D12" s="19" t="s">
        <v>0</v>
      </c>
      <c r="E12" s="19" t="s">
        <v>1</v>
      </c>
      <c r="F12" s="19" t="s">
        <v>0</v>
      </c>
      <c r="G12" s="19" t="s">
        <v>1</v>
      </c>
      <c r="H12" s="19" t="s">
        <v>0</v>
      </c>
      <c r="I12" s="19" t="s">
        <v>1</v>
      </c>
      <c r="J12" s="22" t="s">
        <v>51</v>
      </c>
      <c r="K12" s="23" t="s">
        <v>52</v>
      </c>
      <c r="L12" s="22" t="s">
        <v>51</v>
      </c>
      <c r="M12" s="23" t="s">
        <v>52</v>
      </c>
      <c r="N12" s="23" t="s">
        <v>0</v>
      </c>
      <c r="O12" s="23" t="s">
        <v>1</v>
      </c>
      <c r="P12" s="23" t="s">
        <v>0</v>
      </c>
      <c r="Q12" s="23" t="s">
        <v>1</v>
      </c>
      <c r="R12" s="23" t="s">
        <v>0</v>
      </c>
      <c r="S12" s="23" t="s">
        <v>1</v>
      </c>
      <c r="T12" s="23" t="s">
        <v>0</v>
      </c>
      <c r="U12" s="23" t="s">
        <v>1</v>
      </c>
    </row>
    <row r="13" spans="1:21" ht="13.5" customHeight="1" x14ac:dyDescent="0.15">
      <c r="A13" s="31" t="s">
        <v>2</v>
      </c>
      <c r="B13" s="124" t="s">
        <v>184</v>
      </c>
      <c r="C13" s="124" t="s">
        <v>184</v>
      </c>
      <c r="D13" s="124" t="s">
        <v>184</v>
      </c>
      <c r="E13" s="124" t="s">
        <v>184</v>
      </c>
      <c r="F13" s="124" t="s">
        <v>184</v>
      </c>
      <c r="G13" s="124" t="s">
        <v>184</v>
      </c>
      <c r="H13" s="124" t="s">
        <v>184</v>
      </c>
      <c r="I13" s="124" t="s">
        <v>184</v>
      </c>
      <c r="J13" s="34"/>
      <c r="K13" s="34"/>
      <c r="L13" s="116" t="s">
        <v>184</v>
      </c>
      <c r="M13" s="116" t="s">
        <v>184</v>
      </c>
      <c r="N13" s="125" t="s">
        <v>184</v>
      </c>
      <c r="O13" s="125" t="s">
        <v>184</v>
      </c>
      <c r="P13" s="125" t="s">
        <v>184</v>
      </c>
      <c r="Q13" s="125" t="s">
        <v>184</v>
      </c>
      <c r="R13" s="125" t="s">
        <v>184</v>
      </c>
      <c r="S13" s="125" t="s">
        <v>184</v>
      </c>
      <c r="T13" s="125" t="s">
        <v>184</v>
      </c>
      <c r="U13" s="125" t="s">
        <v>184</v>
      </c>
    </row>
    <row r="14" spans="1:21" ht="13.5" customHeight="1" x14ac:dyDescent="0.15">
      <c r="A14" s="31" t="s">
        <v>3</v>
      </c>
      <c r="B14" s="124" t="s">
        <v>184</v>
      </c>
      <c r="C14" s="124" t="s">
        <v>184</v>
      </c>
      <c r="D14" s="124" t="s">
        <v>184</v>
      </c>
      <c r="E14" s="124" t="s">
        <v>184</v>
      </c>
      <c r="F14" s="124" t="s">
        <v>184</v>
      </c>
      <c r="G14" s="124" t="s">
        <v>184</v>
      </c>
      <c r="H14" s="124" t="s">
        <v>184</v>
      </c>
      <c r="I14" s="124" t="s">
        <v>184</v>
      </c>
      <c r="J14" s="98"/>
      <c r="K14" s="34"/>
      <c r="L14" s="116" t="s">
        <v>184</v>
      </c>
      <c r="M14" s="116" t="s">
        <v>184</v>
      </c>
      <c r="N14" s="125" t="s">
        <v>184</v>
      </c>
      <c r="O14" s="125" t="s">
        <v>184</v>
      </c>
      <c r="P14" s="125" t="s">
        <v>184</v>
      </c>
      <c r="Q14" s="125" t="s">
        <v>184</v>
      </c>
      <c r="R14" s="125" t="s">
        <v>184</v>
      </c>
      <c r="S14" s="125" t="s">
        <v>184</v>
      </c>
      <c r="T14" s="125" t="s">
        <v>184</v>
      </c>
      <c r="U14" s="125" t="s">
        <v>184</v>
      </c>
    </row>
    <row r="15" spans="1:21" ht="13.5" customHeight="1" x14ac:dyDescent="0.15">
      <c r="A15" s="31" t="s">
        <v>4</v>
      </c>
      <c r="B15" s="124" t="s">
        <v>184</v>
      </c>
      <c r="C15" s="124" t="s">
        <v>184</v>
      </c>
      <c r="D15" s="124" t="s">
        <v>184</v>
      </c>
      <c r="E15" s="124" t="s">
        <v>184</v>
      </c>
      <c r="F15" s="124" t="s">
        <v>184</v>
      </c>
      <c r="G15" s="124" t="s">
        <v>184</v>
      </c>
      <c r="H15" s="124" t="s">
        <v>184</v>
      </c>
      <c r="I15" s="124" t="s">
        <v>184</v>
      </c>
      <c r="J15" s="34"/>
      <c r="K15" s="34"/>
      <c r="L15" s="116" t="s">
        <v>184</v>
      </c>
      <c r="M15" s="116" t="s">
        <v>184</v>
      </c>
      <c r="N15" s="125" t="s">
        <v>184</v>
      </c>
      <c r="O15" s="125" t="s">
        <v>184</v>
      </c>
      <c r="P15" s="125" t="s">
        <v>184</v>
      </c>
      <c r="Q15" s="125" t="s">
        <v>184</v>
      </c>
      <c r="R15" s="125" t="s">
        <v>184</v>
      </c>
      <c r="S15" s="125" t="s">
        <v>184</v>
      </c>
      <c r="T15" s="125" t="s">
        <v>184</v>
      </c>
      <c r="U15" s="125" t="s">
        <v>184</v>
      </c>
    </row>
    <row r="16" spans="1:21" ht="13.5" customHeight="1" x14ac:dyDescent="0.15">
      <c r="A16" s="31" t="s">
        <v>5</v>
      </c>
      <c r="B16" s="124" t="s">
        <v>184</v>
      </c>
      <c r="C16" s="124" t="s">
        <v>184</v>
      </c>
      <c r="D16" s="124" t="s">
        <v>184</v>
      </c>
      <c r="E16" s="124" t="s">
        <v>184</v>
      </c>
      <c r="F16" s="124" t="s">
        <v>184</v>
      </c>
      <c r="G16" s="124" t="s">
        <v>184</v>
      </c>
      <c r="H16" s="124" t="s">
        <v>184</v>
      </c>
      <c r="I16" s="124" t="s">
        <v>184</v>
      </c>
      <c r="J16" s="34"/>
      <c r="K16" s="34"/>
      <c r="L16" s="116" t="s">
        <v>184</v>
      </c>
      <c r="M16" s="116" t="s">
        <v>184</v>
      </c>
      <c r="N16" s="125" t="s">
        <v>184</v>
      </c>
      <c r="O16" s="125" t="s">
        <v>184</v>
      </c>
      <c r="P16" s="125" t="s">
        <v>184</v>
      </c>
      <c r="Q16" s="125" t="s">
        <v>184</v>
      </c>
      <c r="R16" s="125" t="s">
        <v>184</v>
      </c>
      <c r="S16" s="125" t="s">
        <v>184</v>
      </c>
      <c r="T16" s="125" t="s">
        <v>184</v>
      </c>
      <c r="U16" s="125" t="s">
        <v>184</v>
      </c>
    </row>
    <row r="17" spans="1:21" ht="13.5" customHeight="1" x14ac:dyDescent="0.15">
      <c r="A17" s="31"/>
      <c r="B17" s="40"/>
      <c r="C17" s="40"/>
      <c r="D17" s="40"/>
      <c r="E17" s="40"/>
      <c r="F17" s="40"/>
      <c r="G17" s="40"/>
      <c r="H17" s="40"/>
      <c r="I17" s="40"/>
      <c r="J17" s="34"/>
      <c r="K17" s="34"/>
      <c r="L17" s="47"/>
      <c r="M17" s="47"/>
      <c r="N17" s="100"/>
      <c r="O17" s="27"/>
      <c r="P17" s="27"/>
      <c r="Q17" s="27"/>
      <c r="R17" s="27"/>
      <c r="S17" s="27"/>
      <c r="T17" s="27"/>
      <c r="U17" s="27"/>
    </row>
    <row r="18" spans="1:21" ht="13.5" customHeight="1" x14ac:dyDescent="0.15">
      <c r="A18" s="31" t="s">
        <v>6</v>
      </c>
      <c r="B18" s="124" t="s">
        <v>189</v>
      </c>
      <c r="C18" s="124" t="s">
        <v>184</v>
      </c>
      <c r="D18" s="124" t="s">
        <v>189</v>
      </c>
      <c r="E18" s="124" t="s">
        <v>184</v>
      </c>
      <c r="F18" s="124" t="s">
        <v>189</v>
      </c>
      <c r="G18" s="124" t="s">
        <v>184</v>
      </c>
      <c r="H18" s="124" t="s">
        <v>189</v>
      </c>
      <c r="I18" s="124" t="s">
        <v>184</v>
      </c>
      <c r="J18" s="34"/>
      <c r="K18" s="34"/>
      <c r="L18" s="116" t="s">
        <v>184</v>
      </c>
      <c r="M18" s="116" t="s">
        <v>184</v>
      </c>
      <c r="N18" s="125" t="s">
        <v>184</v>
      </c>
      <c r="O18" s="125" t="s">
        <v>184</v>
      </c>
      <c r="P18" s="125" t="s">
        <v>184</v>
      </c>
      <c r="Q18" s="125" t="s">
        <v>184</v>
      </c>
      <c r="R18" s="125" t="s">
        <v>184</v>
      </c>
      <c r="S18" s="125" t="s">
        <v>184</v>
      </c>
      <c r="T18" s="125" t="s">
        <v>184</v>
      </c>
      <c r="U18" s="125" t="s">
        <v>184</v>
      </c>
    </row>
    <row r="19" spans="1:21" ht="13.5" customHeight="1" x14ac:dyDescent="0.15">
      <c r="A19" s="31" t="s">
        <v>7</v>
      </c>
      <c r="B19" s="124" t="s">
        <v>189</v>
      </c>
      <c r="C19" s="124" t="s">
        <v>184</v>
      </c>
      <c r="D19" s="124" t="s">
        <v>189</v>
      </c>
      <c r="E19" s="124" t="s">
        <v>184</v>
      </c>
      <c r="F19" s="124" t="s">
        <v>189</v>
      </c>
      <c r="G19" s="124" t="s">
        <v>184</v>
      </c>
      <c r="H19" s="124" t="s">
        <v>189</v>
      </c>
      <c r="I19" s="124" t="s">
        <v>184</v>
      </c>
      <c r="J19" s="34"/>
      <c r="K19" s="34"/>
      <c r="L19" s="116" t="s">
        <v>184</v>
      </c>
      <c r="M19" s="116" t="s">
        <v>184</v>
      </c>
      <c r="N19" s="125" t="s">
        <v>184</v>
      </c>
      <c r="O19" s="125" t="s">
        <v>184</v>
      </c>
      <c r="P19" s="125" t="s">
        <v>184</v>
      </c>
      <c r="Q19" s="125" t="s">
        <v>184</v>
      </c>
      <c r="R19" s="125" t="s">
        <v>184</v>
      </c>
      <c r="S19" s="125" t="s">
        <v>184</v>
      </c>
      <c r="T19" s="125" t="s">
        <v>184</v>
      </c>
      <c r="U19" s="125" t="s">
        <v>184</v>
      </c>
    </row>
    <row r="20" spans="1:21" ht="13.5" customHeight="1" x14ac:dyDescent="0.15">
      <c r="A20" s="31" t="s">
        <v>8</v>
      </c>
      <c r="B20" s="40">
        <v>30</v>
      </c>
      <c r="C20" s="40">
        <f>B20*0.8</f>
        <v>24</v>
      </c>
      <c r="D20" s="40">
        <v>30</v>
      </c>
      <c r="E20" s="40">
        <f>D20*0.8</f>
        <v>24</v>
      </c>
      <c r="F20" s="40">
        <v>30</v>
      </c>
      <c r="G20" s="40">
        <f>F20*0.8</f>
        <v>24</v>
      </c>
      <c r="H20" s="40">
        <v>24.5</v>
      </c>
      <c r="I20" s="40">
        <f>H20*0.8</f>
        <v>19.600000000000001</v>
      </c>
      <c r="J20" s="34" t="s">
        <v>53</v>
      </c>
      <c r="K20" s="34" t="s">
        <v>53</v>
      </c>
      <c r="L20" s="99">
        <f>'4P 3PH rating '!L20*1.05</f>
        <v>34.125</v>
      </c>
      <c r="M20" s="99">
        <f>'4P 3PH rating '!M20*1.05</f>
        <v>27.3</v>
      </c>
      <c r="N20" s="96">
        <v>34.4</v>
      </c>
      <c r="O20" s="96">
        <f t="shared" ref="O20:O54" si="0">N20*0.8</f>
        <v>27.52</v>
      </c>
      <c r="P20" s="96">
        <v>35.6</v>
      </c>
      <c r="Q20" s="96">
        <f t="shared" ref="Q20:Q54" si="1">P20*0.8</f>
        <v>28.480000000000004</v>
      </c>
      <c r="R20" s="96">
        <v>35.6</v>
      </c>
      <c r="S20" s="96">
        <f>Q20*0.8</f>
        <v>22.784000000000006</v>
      </c>
      <c r="T20" s="96">
        <v>38.799999999999997</v>
      </c>
      <c r="U20" s="96">
        <f>T20*0.8</f>
        <v>31.04</v>
      </c>
    </row>
    <row r="21" spans="1:21" ht="13.5" customHeight="1" x14ac:dyDescent="0.15">
      <c r="A21" s="31" t="s">
        <v>9</v>
      </c>
      <c r="B21" s="40">
        <v>33</v>
      </c>
      <c r="C21" s="40">
        <f t="shared" ref="C21:C54" si="2">B21*0.8</f>
        <v>26.400000000000002</v>
      </c>
      <c r="D21" s="40">
        <v>33</v>
      </c>
      <c r="E21" s="40">
        <f t="shared" ref="E21:E39" si="3">D21*0.8</f>
        <v>26.400000000000002</v>
      </c>
      <c r="F21" s="40">
        <v>33</v>
      </c>
      <c r="G21" s="40">
        <f t="shared" ref="G21:G54" si="4">F21*0.8</f>
        <v>26.400000000000002</v>
      </c>
      <c r="H21" s="40">
        <v>29</v>
      </c>
      <c r="I21" s="40">
        <f t="shared" ref="I21:I54" si="5">H21*0.8</f>
        <v>23.200000000000003</v>
      </c>
      <c r="J21" s="34" t="s">
        <v>53</v>
      </c>
      <c r="K21" s="34" t="s">
        <v>53</v>
      </c>
      <c r="L21" s="99">
        <f>'4P 3PH rating '!L21*1.05</f>
        <v>39.375</v>
      </c>
      <c r="M21" s="99">
        <f>'4P 3PH rating '!M21*1.05</f>
        <v>31.5</v>
      </c>
      <c r="N21" s="96">
        <v>36.9</v>
      </c>
      <c r="O21" s="96">
        <f t="shared" si="0"/>
        <v>29.52</v>
      </c>
      <c r="P21" s="96">
        <v>40</v>
      </c>
      <c r="Q21" s="96">
        <f t="shared" si="1"/>
        <v>32</v>
      </c>
      <c r="R21" s="96">
        <v>40</v>
      </c>
      <c r="S21" s="96">
        <f>Q21*0.8</f>
        <v>25.6</v>
      </c>
      <c r="T21" s="96">
        <v>40</v>
      </c>
      <c r="U21" s="96">
        <f t="shared" ref="U21:U54" si="6">T21*0.8</f>
        <v>32</v>
      </c>
    </row>
    <row r="22" spans="1:21" ht="13.5" customHeight="1" x14ac:dyDescent="0.15">
      <c r="A22" s="31" t="s">
        <v>10</v>
      </c>
      <c r="B22" s="40">
        <v>40</v>
      </c>
      <c r="C22" s="40">
        <f t="shared" si="2"/>
        <v>32</v>
      </c>
      <c r="D22" s="40">
        <v>40</v>
      </c>
      <c r="E22" s="40">
        <f t="shared" si="3"/>
        <v>32</v>
      </c>
      <c r="F22" s="40">
        <v>40</v>
      </c>
      <c r="G22" s="40">
        <f t="shared" si="4"/>
        <v>32</v>
      </c>
      <c r="H22" s="40">
        <v>34.700000000000003</v>
      </c>
      <c r="I22" s="40">
        <f t="shared" si="5"/>
        <v>27.760000000000005</v>
      </c>
      <c r="J22" s="34" t="s">
        <v>53</v>
      </c>
      <c r="K22" s="34" t="s">
        <v>53</v>
      </c>
      <c r="L22" s="99">
        <f>'4P 3PH rating '!L22*1.05</f>
        <v>45.675000000000004</v>
      </c>
      <c r="M22" s="99">
        <f>'4P 3PH rating '!M22*1.05</f>
        <v>36.54</v>
      </c>
      <c r="N22" s="96">
        <v>47.3</v>
      </c>
      <c r="O22" s="96">
        <f t="shared" si="0"/>
        <v>37.839999999999996</v>
      </c>
      <c r="P22" s="96">
        <v>50</v>
      </c>
      <c r="Q22" s="96">
        <f t="shared" si="1"/>
        <v>40</v>
      </c>
      <c r="R22" s="96">
        <v>50</v>
      </c>
      <c r="S22" s="96">
        <f>Q22*0.8</f>
        <v>32</v>
      </c>
      <c r="T22" s="96">
        <v>50</v>
      </c>
      <c r="U22" s="96">
        <f t="shared" si="6"/>
        <v>40</v>
      </c>
    </row>
    <row r="23" spans="1:21" ht="13.5" customHeight="1" x14ac:dyDescent="0.15">
      <c r="A23" s="31" t="s">
        <v>11</v>
      </c>
      <c r="B23" s="40">
        <v>42.5</v>
      </c>
      <c r="C23" s="40">
        <f t="shared" si="2"/>
        <v>34</v>
      </c>
      <c r="D23" s="40">
        <v>45</v>
      </c>
      <c r="E23" s="40">
        <f t="shared" si="3"/>
        <v>36</v>
      </c>
      <c r="F23" s="40">
        <v>42.5</v>
      </c>
      <c r="G23" s="40">
        <f t="shared" si="4"/>
        <v>34</v>
      </c>
      <c r="H23" s="40">
        <v>37.200000000000003</v>
      </c>
      <c r="I23" s="40">
        <f t="shared" si="5"/>
        <v>29.760000000000005</v>
      </c>
      <c r="J23" s="34" t="s">
        <v>53</v>
      </c>
      <c r="K23" s="34" t="s">
        <v>53</v>
      </c>
      <c r="L23" s="99">
        <f>'4P 3PH rating '!L23*1.05</f>
        <v>49.875</v>
      </c>
      <c r="M23" s="99">
        <f>'4P 3PH rating '!M23*1.05</f>
        <v>39.9</v>
      </c>
      <c r="N23" s="96">
        <v>50.6</v>
      </c>
      <c r="O23" s="96">
        <f t="shared" si="0"/>
        <v>40.480000000000004</v>
      </c>
      <c r="P23" s="96">
        <v>53.5</v>
      </c>
      <c r="Q23" s="96">
        <f t="shared" si="1"/>
        <v>42.800000000000004</v>
      </c>
      <c r="R23" s="96">
        <v>53.5</v>
      </c>
      <c r="S23" s="96">
        <f>Q23*0.8</f>
        <v>34.24</v>
      </c>
      <c r="T23" s="96">
        <v>53.5</v>
      </c>
      <c r="U23" s="96">
        <f t="shared" si="6"/>
        <v>42.800000000000004</v>
      </c>
    </row>
    <row r="24" spans="1:21" ht="13.5" customHeight="1" x14ac:dyDescent="0.15">
      <c r="A24" s="31"/>
      <c r="B24" s="29"/>
      <c r="C24" s="29"/>
      <c r="D24" s="29"/>
      <c r="E24" s="29"/>
      <c r="F24" s="29"/>
      <c r="G24" s="29"/>
      <c r="H24" s="29"/>
      <c r="I24" s="40"/>
      <c r="J24" s="34"/>
      <c r="K24" s="34"/>
      <c r="L24" s="34"/>
      <c r="M24" s="34"/>
      <c r="N24" s="27"/>
      <c r="O24" s="27"/>
      <c r="P24" s="27"/>
      <c r="Q24" s="27"/>
      <c r="R24" s="27"/>
      <c r="S24" s="27"/>
      <c r="T24" s="96"/>
      <c r="U24" s="96"/>
    </row>
    <row r="25" spans="1:21" ht="13.5" customHeight="1" x14ac:dyDescent="0.15">
      <c r="A25" s="31" t="s">
        <v>13</v>
      </c>
      <c r="B25" s="42">
        <v>46.8</v>
      </c>
      <c r="C25" s="40">
        <f t="shared" si="2"/>
        <v>37.44</v>
      </c>
      <c r="D25" s="42">
        <v>46.8</v>
      </c>
      <c r="E25" s="40">
        <f t="shared" si="3"/>
        <v>37.44</v>
      </c>
      <c r="F25" s="42">
        <v>46.8</v>
      </c>
      <c r="G25" s="40">
        <f t="shared" si="4"/>
        <v>37.44</v>
      </c>
      <c r="H25" s="42">
        <v>33</v>
      </c>
      <c r="I25" s="40">
        <f t="shared" si="5"/>
        <v>26.400000000000002</v>
      </c>
      <c r="J25" s="34" t="s">
        <v>53</v>
      </c>
      <c r="K25" s="34" t="s">
        <v>53</v>
      </c>
      <c r="L25" s="48">
        <v>60</v>
      </c>
      <c r="M25" s="48">
        <f>L25*0.8</f>
        <v>48</v>
      </c>
      <c r="N25" s="43">
        <v>55</v>
      </c>
      <c r="O25" s="41">
        <f t="shared" si="0"/>
        <v>44</v>
      </c>
      <c r="P25" s="43">
        <v>56.3</v>
      </c>
      <c r="Q25" s="41">
        <f t="shared" si="1"/>
        <v>45.04</v>
      </c>
      <c r="R25" s="43">
        <v>56.3</v>
      </c>
      <c r="S25" s="41">
        <f>R25*0.8</f>
        <v>45.04</v>
      </c>
      <c r="T25" s="41">
        <v>60</v>
      </c>
      <c r="U25" s="41">
        <f t="shared" si="6"/>
        <v>48</v>
      </c>
    </row>
    <row r="26" spans="1:21" ht="13.5" customHeight="1" x14ac:dyDescent="0.15">
      <c r="A26" s="31" t="s">
        <v>14</v>
      </c>
      <c r="B26" s="42">
        <v>55</v>
      </c>
      <c r="C26" s="40">
        <f t="shared" si="2"/>
        <v>44</v>
      </c>
      <c r="D26" s="42">
        <v>55</v>
      </c>
      <c r="E26" s="40">
        <f t="shared" si="3"/>
        <v>44</v>
      </c>
      <c r="F26" s="42">
        <v>55</v>
      </c>
      <c r="G26" s="40">
        <f t="shared" si="4"/>
        <v>44</v>
      </c>
      <c r="H26" s="42">
        <v>41.2</v>
      </c>
      <c r="I26" s="40">
        <f t="shared" si="5"/>
        <v>32.96</v>
      </c>
      <c r="J26" s="34" t="s">
        <v>53</v>
      </c>
      <c r="K26" s="34" t="s">
        <v>53</v>
      </c>
      <c r="L26" s="48">
        <v>66.3</v>
      </c>
      <c r="M26" s="48">
        <f t="shared" ref="M26:M54" si="7">L26*0.8</f>
        <v>53.04</v>
      </c>
      <c r="N26" s="43">
        <v>65</v>
      </c>
      <c r="O26" s="41">
        <f t="shared" si="0"/>
        <v>52</v>
      </c>
      <c r="P26" s="43">
        <v>66.3</v>
      </c>
      <c r="Q26" s="41">
        <f t="shared" si="1"/>
        <v>53.04</v>
      </c>
      <c r="R26" s="43">
        <v>66.3</v>
      </c>
      <c r="S26" s="41">
        <f t="shared" ref="S26:S54" si="8">R26*0.8</f>
        <v>53.04</v>
      </c>
      <c r="T26" s="41">
        <v>71.3</v>
      </c>
      <c r="U26" s="41">
        <f t="shared" si="6"/>
        <v>57.04</v>
      </c>
    </row>
    <row r="27" spans="1:21" ht="13.5" customHeight="1" x14ac:dyDescent="0.15">
      <c r="A27" s="31" t="s">
        <v>15</v>
      </c>
      <c r="B27" s="42">
        <v>63</v>
      </c>
      <c r="C27" s="40">
        <f t="shared" si="2"/>
        <v>50.400000000000006</v>
      </c>
      <c r="D27" s="42">
        <v>63</v>
      </c>
      <c r="E27" s="40">
        <f t="shared" si="3"/>
        <v>50.400000000000006</v>
      </c>
      <c r="F27" s="42">
        <v>63</v>
      </c>
      <c r="G27" s="40">
        <f t="shared" si="4"/>
        <v>50.400000000000006</v>
      </c>
      <c r="H27" s="42">
        <v>47.3</v>
      </c>
      <c r="I27" s="40">
        <f t="shared" si="5"/>
        <v>37.839999999999996</v>
      </c>
      <c r="J27" s="34" t="s">
        <v>53</v>
      </c>
      <c r="K27" s="34" t="s">
        <v>53</v>
      </c>
      <c r="L27" s="48">
        <v>75</v>
      </c>
      <c r="M27" s="48">
        <f t="shared" si="7"/>
        <v>60</v>
      </c>
      <c r="N27" s="43">
        <v>72.5</v>
      </c>
      <c r="O27" s="41">
        <f t="shared" si="0"/>
        <v>58</v>
      </c>
      <c r="P27" s="43">
        <v>75</v>
      </c>
      <c r="Q27" s="41">
        <f t="shared" si="1"/>
        <v>60</v>
      </c>
      <c r="R27" s="43">
        <v>75</v>
      </c>
      <c r="S27" s="41">
        <f t="shared" si="8"/>
        <v>60</v>
      </c>
      <c r="T27" s="41">
        <v>80</v>
      </c>
      <c r="U27" s="41">
        <f t="shared" si="6"/>
        <v>64</v>
      </c>
    </row>
    <row r="28" spans="1:21" ht="13.5" customHeight="1" x14ac:dyDescent="0.15">
      <c r="A28" s="31" t="s">
        <v>16</v>
      </c>
      <c r="B28" s="42">
        <v>80</v>
      </c>
      <c r="C28" s="40">
        <f t="shared" si="2"/>
        <v>64</v>
      </c>
      <c r="D28" s="42">
        <v>80</v>
      </c>
      <c r="E28" s="40">
        <f t="shared" si="3"/>
        <v>64</v>
      </c>
      <c r="F28" s="42">
        <v>80</v>
      </c>
      <c r="G28" s="40">
        <f t="shared" si="4"/>
        <v>64</v>
      </c>
      <c r="H28" s="42">
        <v>60.4</v>
      </c>
      <c r="I28" s="40">
        <f t="shared" si="5"/>
        <v>48.32</v>
      </c>
      <c r="J28" s="34" t="s">
        <v>53</v>
      </c>
      <c r="K28" s="34" t="s">
        <v>53</v>
      </c>
      <c r="L28" s="48">
        <v>92</v>
      </c>
      <c r="M28" s="48">
        <f t="shared" si="7"/>
        <v>73.600000000000009</v>
      </c>
      <c r="N28" s="43">
        <v>91.9</v>
      </c>
      <c r="O28" s="41">
        <f t="shared" si="0"/>
        <v>73.52000000000001</v>
      </c>
      <c r="P28" s="43">
        <v>95</v>
      </c>
      <c r="Q28" s="41">
        <f t="shared" si="1"/>
        <v>76</v>
      </c>
      <c r="R28" s="43">
        <v>95</v>
      </c>
      <c r="S28" s="41">
        <f t="shared" si="8"/>
        <v>76</v>
      </c>
      <c r="T28" s="41">
        <v>102.5</v>
      </c>
      <c r="U28" s="41">
        <f t="shared" si="6"/>
        <v>82</v>
      </c>
    </row>
    <row r="29" spans="1:21" ht="13.5" customHeight="1" x14ac:dyDescent="0.15">
      <c r="A29" s="31" t="s">
        <v>17</v>
      </c>
      <c r="B29" s="42">
        <v>90.8</v>
      </c>
      <c r="C29" s="40">
        <f t="shared" si="2"/>
        <v>72.64</v>
      </c>
      <c r="D29" s="42">
        <v>90.8</v>
      </c>
      <c r="E29" s="40">
        <f t="shared" si="3"/>
        <v>72.64</v>
      </c>
      <c r="F29" s="42">
        <v>90.8</v>
      </c>
      <c r="G29" s="40">
        <f t="shared" si="4"/>
        <v>72.64</v>
      </c>
      <c r="H29" s="42">
        <v>80.099999999999994</v>
      </c>
      <c r="I29" s="40">
        <f t="shared" si="5"/>
        <v>64.08</v>
      </c>
      <c r="J29" s="34" t="s">
        <v>53</v>
      </c>
      <c r="K29" s="34" t="s">
        <v>53</v>
      </c>
      <c r="L29" s="48">
        <v>106.3</v>
      </c>
      <c r="M29" s="48">
        <f t="shared" si="7"/>
        <v>85.04</v>
      </c>
      <c r="N29" s="43">
        <v>101.3</v>
      </c>
      <c r="O29" s="41">
        <f t="shared" si="0"/>
        <v>81.040000000000006</v>
      </c>
      <c r="P29" s="43">
        <v>106.3</v>
      </c>
      <c r="Q29" s="41">
        <f t="shared" si="1"/>
        <v>85.04</v>
      </c>
      <c r="R29" s="43">
        <v>106.3</v>
      </c>
      <c r="S29" s="41">
        <f t="shared" si="8"/>
        <v>85.04</v>
      </c>
      <c r="T29" s="41">
        <v>113.8</v>
      </c>
      <c r="U29" s="41">
        <f t="shared" si="6"/>
        <v>91.04</v>
      </c>
    </row>
    <row r="30" spans="1:21" ht="13.5" customHeight="1" x14ac:dyDescent="0.15">
      <c r="A30" s="31"/>
      <c r="B30" s="30"/>
      <c r="C30" s="29"/>
      <c r="D30" s="30"/>
      <c r="E30" s="29"/>
      <c r="F30" s="30"/>
      <c r="G30" s="29"/>
      <c r="H30" s="30"/>
      <c r="I30" s="40"/>
      <c r="J30" s="35"/>
      <c r="K30" s="35"/>
      <c r="L30" s="48"/>
      <c r="M30" s="48"/>
      <c r="N30" s="43"/>
      <c r="O30" s="41"/>
      <c r="P30" s="43"/>
      <c r="Q30" s="41"/>
      <c r="R30" s="43"/>
      <c r="S30" s="41"/>
      <c r="T30" s="41"/>
      <c r="U30" s="41"/>
    </row>
    <row r="31" spans="1:21" ht="13.5" customHeight="1" x14ac:dyDescent="0.15">
      <c r="A31" s="31" t="s">
        <v>18</v>
      </c>
      <c r="B31" s="90">
        <v>110</v>
      </c>
      <c r="C31" s="89">
        <f t="shared" si="2"/>
        <v>88</v>
      </c>
      <c r="D31" s="90">
        <v>110</v>
      </c>
      <c r="E31" s="89">
        <f t="shared" si="3"/>
        <v>88</v>
      </c>
      <c r="F31" s="90">
        <v>110</v>
      </c>
      <c r="G31" s="89">
        <f t="shared" si="4"/>
        <v>88</v>
      </c>
      <c r="H31" s="39" t="s">
        <v>53</v>
      </c>
      <c r="I31" s="39" t="s">
        <v>53</v>
      </c>
      <c r="J31" s="34" t="s">
        <v>53</v>
      </c>
      <c r="K31" s="34" t="s">
        <v>53</v>
      </c>
      <c r="L31" s="65">
        <v>132</v>
      </c>
      <c r="M31" s="65">
        <f t="shared" si="7"/>
        <v>105.60000000000001</v>
      </c>
      <c r="N31" s="94">
        <v>120</v>
      </c>
      <c r="O31" s="95">
        <f t="shared" si="0"/>
        <v>96</v>
      </c>
      <c r="P31" s="94">
        <v>127.5</v>
      </c>
      <c r="Q31" s="95">
        <f t="shared" si="1"/>
        <v>102</v>
      </c>
      <c r="R31" s="94">
        <v>127.5</v>
      </c>
      <c r="S31" s="95">
        <f t="shared" si="8"/>
        <v>102</v>
      </c>
      <c r="T31" s="95">
        <v>137.5</v>
      </c>
      <c r="U31" s="95">
        <f t="shared" si="6"/>
        <v>110</v>
      </c>
    </row>
    <row r="32" spans="1:21" ht="13.5" customHeight="1" x14ac:dyDescent="0.15">
      <c r="A32" s="31" t="s">
        <v>38</v>
      </c>
      <c r="B32" s="90">
        <f>C32/0.8</f>
        <v>132.5</v>
      </c>
      <c r="C32" s="89">
        <v>106</v>
      </c>
      <c r="D32" s="90">
        <f>E32/0.8</f>
        <v>132.5</v>
      </c>
      <c r="E32" s="89">
        <v>106</v>
      </c>
      <c r="F32" s="90">
        <f>G32/0.8</f>
        <v>132.5</v>
      </c>
      <c r="G32" s="89">
        <v>106</v>
      </c>
      <c r="H32" s="39" t="s">
        <v>53</v>
      </c>
      <c r="I32" s="39" t="s">
        <v>53</v>
      </c>
      <c r="J32" s="34" t="s">
        <v>53</v>
      </c>
      <c r="K32" s="34" t="s">
        <v>53</v>
      </c>
      <c r="L32" s="65">
        <v>150</v>
      </c>
      <c r="M32" s="65">
        <f t="shared" si="7"/>
        <v>120</v>
      </c>
      <c r="N32" s="94">
        <v>150</v>
      </c>
      <c r="O32" s="95">
        <f t="shared" si="0"/>
        <v>120</v>
      </c>
      <c r="P32" s="94">
        <v>160</v>
      </c>
      <c r="Q32" s="95">
        <f t="shared" si="1"/>
        <v>128</v>
      </c>
      <c r="R32" s="94">
        <v>160</v>
      </c>
      <c r="S32" s="95">
        <f t="shared" si="8"/>
        <v>128</v>
      </c>
      <c r="T32" s="95">
        <v>160</v>
      </c>
      <c r="U32" s="95">
        <f t="shared" si="6"/>
        <v>128</v>
      </c>
    </row>
    <row r="33" spans="1:21" ht="13.5" customHeight="1" x14ac:dyDescent="0.15">
      <c r="A33" s="31" t="s">
        <v>19</v>
      </c>
      <c r="B33" s="90">
        <v>150</v>
      </c>
      <c r="C33" s="89">
        <f t="shared" si="2"/>
        <v>120</v>
      </c>
      <c r="D33" s="90">
        <v>150</v>
      </c>
      <c r="E33" s="89">
        <f t="shared" si="3"/>
        <v>120</v>
      </c>
      <c r="F33" s="90">
        <v>150</v>
      </c>
      <c r="G33" s="89">
        <f t="shared" si="4"/>
        <v>120</v>
      </c>
      <c r="H33" s="39" t="s">
        <v>53</v>
      </c>
      <c r="I33" s="39" t="s">
        <v>53</v>
      </c>
      <c r="J33" s="34" t="s">
        <v>53</v>
      </c>
      <c r="K33" s="34" t="s">
        <v>53</v>
      </c>
      <c r="L33" s="65">
        <v>175</v>
      </c>
      <c r="M33" s="65">
        <f t="shared" si="7"/>
        <v>140</v>
      </c>
      <c r="N33" s="94">
        <v>175</v>
      </c>
      <c r="O33" s="95">
        <f t="shared" si="0"/>
        <v>140</v>
      </c>
      <c r="P33" s="94">
        <v>181.3</v>
      </c>
      <c r="Q33" s="95">
        <f t="shared" si="1"/>
        <v>145.04000000000002</v>
      </c>
      <c r="R33" s="94">
        <v>181.3</v>
      </c>
      <c r="S33" s="95">
        <f t="shared" si="8"/>
        <v>145.04000000000002</v>
      </c>
      <c r="T33" s="95">
        <v>193.8</v>
      </c>
      <c r="U33" s="95">
        <f t="shared" si="6"/>
        <v>155.04000000000002</v>
      </c>
    </row>
    <row r="34" spans="1:21" ht="13.5" customHeight="1" x14ac:dyDescent="0.15">
      <c r="A34" s="31" t="s">
        <v>20</v>
      </c>
      <c r="B34" s="89">
        <f>'4P 3PH rating '!B34*1.05</f>
        <v>157.5</v>
      </c>
      <c r="C34" s="89">
        <f>'4P 3PH rating '!C34*1.05</f>
        <v>126</v>
      </c>
      <c r="D34" s="89">
        <f>'4P 3PH rating '!D34*1.05</f>
        <v>157.5</v>
      </c>
      <c r="E34" s="89">
        <f>'4P 3PH rating '!E34*1.05</f>
        <v>126</v>
      </c>
      <c r="F34" s="89">
        <f>'4P 3PH rating '!F34*1.05</f>
        <v>157.5</v>
      </c>
      <c r="G34" s="89">
        <f>'4P 3PH rating '!G34*1.05</f>
        <v>126</v>
      </c>
      <c r="H34" s="39"/>
      <c r="I34" s="39"/>
      <c r="J34" s="34" t="s">
        <v>53</v>
      </c>
      <c r="K34" s="34" t="s">
        <v>53</v>
      </c>
      <c r="L34" s="65"/>
      <c r="M34" s="65"/>
      <c r="N34" s="94"/>
      <c r="O34" s="95">
        <f t="shared" si="0"/>
        <v>0</v>
      </c>
      <c r="P34" s="94"/>
      <c r="Q34" s="95">
        <f t="shared" si="1"/>
        <v>0</v>
      </c>
      <c r="R34" s="94"/>
      <c r="S34" s="95">
        <f t="shared" si="8"/>
        <v>0</v>
      </c>
      <c r="T34" s="95"/>
      <c r="U34" s="95">
        <f t="shared" si="6"/>
        <v>0</v>
      </c>
    </row>
    <row r="35" spans="1:21" ht="13.5" customHeight="1" x14ac:dyDescent="0.15">
      <c r="A35" s="31" t="s">
        <v>21</v>
      </c>
      <c r="B35" s="90">
        <v>175</v>
      </c>
      <c r="C35" s="89">
        <f t="shared" si="2"/>
        <v>140</v>
      </c>
      <c r="D35" s="90">
        <v>175</v>
      </c>
      <c r="E35" s="89">
        <f t="shared" si="3"/>
        <v>140</v>
      </c>
      <c r="F35" s="90">
        <v>175</v>
      </c>
      <c r="G35" s="89">
        <f t="shared" si="4"/>
        <v>140</v>
      </c>
      <c r="H35" s="39" t="s">
        <v>53</v>
      </c>
      <c r="I35" s="39" t="s">
        <v>53</v>
      </c>
      <c r="J35" s="34" t="s">
        <v>53</v>
      </c>
      <c r="K35" s="34" t="s">
        <v>53</v>
      </c>
      <c r="L35" s="65">
        <v>190</v>
      </c>
      <c r="M35" s="65">
        <f t="shared" si="7"/>
        <v>152</v>
      </c>
      <c r="N35" s="94">
        <v>192.5</v>
      </c>
      <c r="O35" s="95">
        <f t="shared" si="0"/>
        <v>154</v>
      </c>
      <c r="P35" s="94">
        <v>206.3</v>
      </c>
      <c r="Q35" s="95">
        <f t="shared" si="1"/>
        <v>165.04000000000002</v>
      </c>
      <c r="R35" s="94">
        <v>206.3</v>
      </c>
      <c r="S35" s="95">
        <f t="shared" si="8"/>
        <v>165.04000000000002</v>
      </c>
      <c r="T35" s="95">
        <v>218.8</v>
      </c>
      <c r="U35" s="95">
        <f t="shared" si="6"/>
        <v>175.04000000000002</v>
      </c>
    </row>
    <row r="36" spans="1:21" ht="13.5" customHeight="1" x14ac:dyDescent="0.15">
      <c r="A36" s="31" t="s">
        <v>22</v>
      </c>
      <c r="B36" s="90">
        <v>194</v>
      </c>
      <c r="C36" s="89">
        <f t="shared" si="2"/>
        <v>155.20000000000002</v>
      </c>
      <c r="D36" s="90">
        <v>194</v>
      </c>
      <c r="E36" s="89">
        <f t="shared" si="3"/>
        <v>155.20000000000002</v>
      </c>
      <c r="F36" s="90">
        <v>194</v>
      </c>
      <c r="G36" s="89">
        <f t="shared" si="4"/>
        <v>155.20000000000002</v>
      </c>
      <c r="H36" s="39" t="s">
        <v>53</v>
      </c>
      <c r="I36" s="39" t="s">
        <v>53</v>
      </c>
      <c r="J36" s="34" t="s">
        <v>53</v>
      </c>
      <c r="K36" s="34" t="s">
        <v>53</v>
      </c>
      <c r="L36" s="65">
        <v>212.5</v>
      </c>
      <c r="M36" s="65">
        <f t="shared" si="7"/>
        <v>170</v>
      </c>
      <c r="N36" s="94">
        <v>218.5</v>
      </c>
      <c r="O36" s="95">
        <f t="shared" si="0"/>
        <v>174.8</v>
      </c>
      <c r="P36" s="94">
        <v>234</v>
      </c>
      <c r="Q36" s="95">
        <f t="shared" si="1"/>
        <v>187.20000000000002</v>
      </c>
      <c r="R36" s="94">
        <v>234</v>
      </c>
      <c r="S36" s="95">
        <f t="shared" si="8"/>
        <v>187.20000000000002</v>
      </c>
      <c r="T36" s="95">
        <v>253.3</v>
      </c>
      <c r="U36" s="95">
        <f t="shared" si="6"/>
        <v>202.64000000000001</v>
      </c>
    </row>
    <row r="37" spans="1:21" ht="13.5" customHeight="1" x14ac:dyDescent="0.15">
      <c r="A37" s="31" t="s">
        <v>23</v>
      </c>
      <c r="B37" s="90">
        <v>220</v>
      </c>
      <c r="C37" s="89">
        <f t="shared" si="2"/>
        <v>176</v>
      </c>
      <c r="D37" s="90">
        <v>220</v>
      </c>
      <c r="E37" s="89">
        <f t="shared" si="3"/>
        <v>176</v>
      </c>
      <c r="F37" s="90">
        <v>220</v>
      </c>
      <c r="G37" s="89">
        <f t="shared" si="4"/>
        <v>176</v>
      </c>
      <c r="H37" s="39" t="s">
        <v>53</v>
      </c>
      <c r="I37" s="39" t="s">
        <v>53</v>
      </c>
      <c r="J37" s="34" t="s">
        <v>53</v>
      </c>
      <c r="K37" s="34" t="s">
        <v>53</v>
      </c>
      <c r="L37" s="65">
        <v>256.3</v>
      </c>
      <c r="M37" s="65">
        <f t="shared" si="7"/>
        <v>205.04000000000002</v>
      </c>
      <c r="N37" s="94">
        <v>256.3</v>
      </c>
      <c r="O37" s="95">
        <f t="shared" si="0"/>
        <v>205.04000000000002</v>
      </c>
      <c r="P37" s="94">
        <v>265</v>
      </c>
      <c r="Q37" s="95">
        <f t="shared" si="1"/>
        <v>212</v>
      </c>
      <c r="R37" s="94">
        <v>265</v>
      </c>
      <c r="S37" s="95">
        <f t="shared" si="8"/>
        <v>212</v>
      </c>
      <c r="T37" s="95">
        <v>280</v>
      </c>
      <c r="U37" s="95">
        <f t="shared" si="6"/>
        <v>224</v>
      </c>
    </row>
    <row r="38" spans="1:21" ht="13.5" customHeight="1" x14ac:dyDescent="0.15">
      <c r="A38" s="31" t="s">
        <v>24</v>
      </c>
      <c r="B38" s="90">
        <v>260</v>
      </c>
      <c r="C38" s="89">
        <f t="shared" si="2"/>
        <v>208</v>
      </c>
      <c r="D38" s="90">
        <v>260</v>
      </c>
      <c r="E38" s="89">
        <f t="shared" si="3"/>
        <v>208</v>
      </c>
      <c r="F38" s="90">
        <v>260</v>
      </c>
      <c r="G38" s="89">
        <f t="shared" si="4"/>
        <v>208</v>
      </c>
      <c r="H38" s="39" t="s">
        <v>53</v>
      </c>
      <c r="I38" s="39" t="s">
        <v>53</v>
      </c>
      <c r="J38" s="34" t="s">
        <v>53</v>
      </c>
      <c r="K38" s="34" t="s">
        <v>53</v>
      </c>
      <c r="L38" s="105">
        <v>300</v>
      </c>
      <c r="M38" s="65">
        <f t="shared" si="7"/>
        <v>240</v>
      </c>
      <c r="N38" s="94">
        <v>294</v>
      </c>
      <c r="O38" s="95">
        <f t="shared" si="0"/>
        <v>235.20000000000002</v>
      </c>
      <c r="P38" s="94">
        <v>306</v>
      </c>
      <c r="Q38" s="95">
        <f t="shared" si="1"/>
        <v>244.8</v>
      </c>
      <c r="R38" s="94">
        <v>319</v>
      </c>
      <c r="S38" s="95">
        <f t="shared" si="8"/>
        <v>255.20000000000002</v>
      </c>
      <c r="T38" s="95">
        <v>325</v>
      </c>
      <c r="U38" s="95">
        <f t="shared" si="6"/>
        <v>260</v>
      </c>
    </row>
    <row r="39" spans="1:21" ht="13.5" customHeight="1" x14ac:dyDescent="0.15">
      <c r="A39" s="31" t="s">
        <v>25</v>
      </c>
      <c r="B39" s="90">
        <v>275</v>
      </c>
      <c r="C39" s="89">
        <f t="shared" si="2"/>
        <v>220</v>
      </c>
      <c r="D39" s="90">
        <v>275</v>
      </c>
      <c r="E39" s="89">
        <f t="shared" si="3"/>
        <v>220</v>
      </c>
      <c r="F39" s="90">
        <v>275</v>
      </c>
      <c r="G39" s="89">
        <f t="shared" si="4"/>
        <v>220</v>
      </c>
      <c r="H39" s="39" t="s">
        <v>53</v>
      </c>
      <c r="I39" s="39" t="s">
        <v>53</v>
      </c>
      <c r="J39" s="34" t="s">
        <v>53</v>
      </c>
      <c r="K39" s="34" t="s">
        <v>53</v>
      </c>
      <c r="L39" s="105">
        <v>325</v>
      </c>
      <c r="M39" s="65">
        <f>L39*0.8</f>
        <v>260</v>
      </c>
      <c r="N39" s="94">
        <v>312</v>
      </c>
      <c r="O39" s="95">
        <f t="shared" si="0"/>
        <v>249.60000000000002</v>
      </c>
      <c r="P39" s="94">
        <v>320</v>
      </c>
      <c r="Q39" s="95">
        <f t="shared" si="1"/>
        <v>256</v>
      </c>
      <c r="R39" s="94">
        <v>343.8</v>
      </c>
      <c r="S39" s="95">
        <f t="shared" si="8"/>
        <v>275.04000000000002</v>
      </c>
      <c r="T39" s="95">
        <v>343.8</v>
      </c>
      <c r="U39" s="95">
        <f t="shared" si="6"/>
        <v>275.04000000000002</v>
      </c>
    </row>
    <row r="40" spans="1:21" ht="13.5" customHeight="1" x14ac:dyDescent="0.15">
      <c r="A40" s="31"/>
      <c r="B40" s="30"/>
      <c r="C40" s="29"/>
      <c r="D40" s="30"/>
      <c r="E40" s="29"/>
      <c r="F40" s="30"/>
      <c r="G40" s="29"/>
      <c r="H40" s="30"/>
      <c r="I40" s="40"/>
      <c r="J40" s="35"/>
      <c r="K40" s="35"/>
      <c r="L40" s="35"/>
      <c r="M40" s="35"/>
      <c r="N40" s="28"/>
      <c r="O40" s="27"/>
      <c r="P40" s="28"/>
      <c r="Q40" s="27"/>
      <c r="R40" s="28"/>
      <c r="S40" s="41"/>
      <c r="T40" s="27"/>
      <c r="U40" s="27"/>
    </row>
    <row r="41" spans="1:21" ht="13.5" customHeight="1" x14ac:dyDescent="0.15">
      <c r="A41" s="32" t="s">
        <v>29</v>
      </c>
      <c r="B41" s="90">
        <v>268</v>
      </c>
      <c r="C41" s="89">
        <f t="shared" si="2"/>
        <v>214.4</v>
      </c>
      <c r="D41" s="90">
        <v>268</v>
      </c>
      <c r="E41" s="89">
        <f t="shared" ref="E41:E47" si="9">D41*0.8</f>
        <v>214.4</v>
      </c>
      <c r="F41" s="90">
        <v>268</v>
      </c>
      <c r="G41" s="89">
        <f t="shared" si="4"/>
        <v>214.4</v>
      </c>
      <c r="H41" s="90">
        <v>268</v>
      </c>
      <c r="I41" s="89">
        <f t="shared" si="5"/>
        <v>214.4</v>
      </c>
      <c r="J41" s="65">
        <v>330</v>
      </c>
      <c r="K41" s="65">
        <f>J41*0.8</f>
        <v>264</v>
      </c>
      <c r="L41" s="65">
        <v>330</v>
      </c>
      <c r="M41" s="65">
        <f t="shared" si="7"/>
        <v>264</v>
      </c>
      <c r="N41" s="94">
        <v>313</v>
      </c>
      <c r="O41" s="95">
        <f t="shared" si="0"/>
        <v>250.4</v>
      </c>
      <c r="P41" s="94">
        <v>325</v>
      </c>
      <c r="Q41" s="95">
        <f t="shared" si="1"/>
        <v>260</v>
      </c>
      <c r="R41" s="94">
        <v>331</v>
      </c>
      <c r="S41" s="95">
        <f t="shared" si="8"/>
        <v>264.8</v>
      </c>
      <c r="T41" s="95">
        <v>344</v>
      </c>
      <c r="U41" s="95">
        <f t="shared" si="6"/>
        <v>275.2</v>
      </c>
    </row>
    <row r="42" spans="1:21" ht="13.5" customHeight="1" x14ac:dyDescent="0.15">
      <c r="A42" s="32" t="s">
        <v>30</v>
      </c>
      <c r="B42" s="90">
        <v>324</v>
      </c>
      <c r="C42" s="89">
        <f t="shared" si="2"/>
        <v>259.2</v>
      </c>
      <c r="D42" s="90">
        <v>324</v>
      </c>
      <c r="E42" s="89">
        <f t="shared" si="9"/>
        <v>259.2</v>
      </c>
      <c r="F42" s="90">
        <v>324</v>
      </c>
      <c r="G42" s="89">
        <f t="shared" si="4"/>
        <v>259.2</v>
      </c>
      <c r="H42" s="90">
        <v>305</v>
      </c>
      <c r="I42" s="89">
        <f t="shared" si="5"/>
        <v>244</v>
      </c>
      <c r="J42" s="65">
        <v>380</v>
      </c>
      <c r="K42" s="65">
        <f>J42*0.8</f>
        <v>304</v>
      </c>
      <c r="L42" s="65">
        <v>380</v>
      </c>
      <c r="M42" s="65">
        <f t="shared" si="7"/>
        <v>304</v>
      </c>
      <c r="N42" s="94">
        <v>363</v>
      </c>
      <c r="O42" s="95">
        <f t="shared" si="0"/>
        <v>290.40000000000003</v>
      </c>
      <c r="P42" s="94">
        <v>383</v>
      </c>
      <c r="Q42" s="95">
        <f t="shared" si="1"/>
        <v>306.40000000000003</v>
      </c>
      <c r="R42" s="94">
        <v>398</v>
      </c>
      <c r="S42" s="95">
        <f t="shared" si="8"/>
        <v>318.40000000000003</v>
      </c>
      <c r="T42" s="95">
        <v>413</v>
      </c>
      <c r="U42" s="95">
        <f t="shared" si="6"/>
        <v>330.40000000000003</v>
      </c>
    </row>
    <row r="43" spans="1:21" ht="13.5" customHeight="1" x14ac:dyDescent="0.15">
      <c r="A43" s="32" t="s">
        <v>26</v>
      </c>
      <c r="B43" s="90">
        <v>330</v>
      </c>
      <c r="C43" s="89">
        <f t="shared" si="2"/>
        <v>264</v>
      </c>
      <c r="D43" s="90">
        <v>330</v>
      </c>
      <c r="E43" s="89">
        <f t="shared" si="9"/>
        <v>264</v>
      </c>
      <c r="F43" s="90">
        <v>330</v>
      </c>
      <c r="G43" s="89">
        <f t="shared" si="4"/>
        <v>264</v>
      </c>
      <c r="H43" s="90">
        <v>320</v>
      </c>
      <c r="I43" s="89">
        <f t="shared" si="5"/>
        <v>256</v>
      </c>
      <c r="J43" s="65">
        <v>385</v>
      </c>
      <c r="K43" s="65">
        <f>J43*0.8</f>
        <v>308</v>
      </c>
      <c r="L43" s="65">
        <v>385</v>
      </c>
      <c r="M43" s="65">
        <f t="shared" si="7"/>
        <v>308</v>
      </c>
      <c r="N43" s="94">
        <v>374</v>
      </c>
      <c r="O43" s="95">
        <f t="shared" si="0"/>
        <v>299.2</v>
      </c>
      <c r="P43" s="94">
        <v>396</v>
      </c>
      <c r="Q43" s="95">
        <f t="shared" si="1"/>
        <v>316.8</v>
      </c>
      <c r="R43" s="94">
        <v>413</v>
      </c>
      <c r="S43" s="95">
        <f t="shared" si="8"/>
        <v>330.40000000000003</v>
      </c>
      <c r="T43" s="95">
        <v>413</v>
      </c>
      <c r="U43" s="95">
        <f t="shared" si="6"/>
        <v>330.40000000000003</v>
      </c>
    </row>
    <row r="44" spans="1:21" ht="13.5" customHeight="1" x14ac:dyDescent="0.15">
      <c r="A44" s="32" t="s">
        <v>31</v>
      </c>
      <c r="B44" s="90">
        <v>358</v>
      </c>
      <c r="C44" s="89">
        <f t="shared" si="2"/>
        <v>286.40000000000003</v>
      </c>
      <c r="D44" s="90">
        <v>358</v>
      </c>
      <c r="E44" s="89">
        <f t="shared" si="9"/>
        <v>286.40000000000003</v>
      </c>
      <c r="F44" s="90">
        <v>358</v>
      </c>
      <c r="G44" s="89">
        <f t="shared" si="4"/>
        <v>286.40000000000003</v>
      </c>
      <c r="H44" s="90">
        <v>358</v>
      </c>
      <c r="I44" s="89">
        <f t="shared" si="5"/>
        <v>286.40000000000003</v>
      </c>
      <c r="J44" s="49" t="s">
        <v>184</v>
      </c>
      <c r="K44" s="49" t="s">
        <v>184</v>
      </c>
      <c r="L44" s="65" t="s">
        <v>182</v>
      </c>
      <c r="M44" s="65" t="s">
        <v>182</v>
      </c>
      <c r="N44" s="94">
        <v>419</v>
      </c>
      <c r="O44" s="95">
        <f t="shared" si="0"/>
        <v>335.20000000000005</v>
      </c>
      <c r="P44" s="94">
        <v>431</v>
      </c>
      <c r="Q44" s="95">
        <f t="shared" si="1"/>
        <v>344.8</v>
      </c>
      <c r="R44" s="94">
        <v>444</v>
      </c>
      <c r="S44" s="95">
        <f t="shared" si="8"/>
        <v>355.20000000000005</v>
      </c>
      <c r="T44" s="95">
        <v>456</v>
      </c>
      <c r="U44" s="95">
        <f t="shared" si="6"/>
        <v>364.8</v>
      </c>
    </row>
    <row r="45" spans="1:21" ht="13.5" customHeight="1" x14ac:dyDescent="0.15">
      <c r="A45" s="32" t="s">
        <v>27</v>
      </c>
      <c r="B45" s="90">
        <v>375</v>
      </c>
      <c r="C45" s="89">
        <f t="shared" si="2"/>
        <v>300</v>
      </c>
      <c r="D45" s="90">
        <v>375</v>
      </c>
      <c r="E45" s="89">
        <f t="shared" si="9"/>
        <v>300</v>
      </c>
      <c r="F45" s="90">
        <v>375</v>
      </c>
      <c r="G45" s="89">
        <f t="shared" si="4"/>
        <v>300</v>
      </c>
      <c r="H45" s="90">
        <v>375</v>
      </c>
      <c r="I45" s="89">
        <f t="shared" si="5"/>
        <v>300</v>
      </c>
      <c r="J45" s="49" t="s">
        <v>184</v>
      </c>
      <c r="K45" s="49" t="s">
        <v>184</v>
      </c>
      <c r="L45" s="65" t="s">
        <v>182</v>
      </c>
      <c r="M45" s="65" t="s">
        <v>182</v>
      </c>
      <c r="N45" s="94">
        <v>432</v>
      </c>
      <c r="O45" s="95">
        <f t="shared" si="0"/>
        <v>345.6</v>
      </c>
      <c r="P45" s="94">
        <v>456</v>
      </c>
      <c r="Q45" s="95">
        <f t="shared" si="1"/>
        <v>364.8</v>
      </c>
      <c r="R45" s="94">
        <v>475</v>
      </c>
      <c r="S45" s="95">
        <f t="shared" si="8"/>
        <v>380</v>
      </c>
      <c r="T45" s="95">
        <v>475</v>
      </c>
      <c r="U45" s="95">
        <f t="shared" si="6"/>
        <v>380</v>
      </c>
    </row>
    <row r="46" spans="1:21" ht="13.5" customHeight="1" x14ac:dyDescent="0.15">
      <c r="A46" s="32" t="s">
        <v>32</v>
      </c>
      <c r="B46" s="90">
        <v>404</v>
      </c>
      <c r="C46" s="89">
        <f t="shared" si="2"/>
        <v>323.20000000000005</v>
      </c>
      <c r="D46" s="90">
        <v>404</v>
      </c>
      <c r="E46" s="89">
        <f t="shared" si="9"/>
        <v>323.20000000000005</v>
      </c>
      <c r="F46" s="90">
        <v>404</v>
      </c>
      <c r="G46" s="89">
        <f t="shared" si="4"/>
        <v>323.20000000000005</v>
      </c>
      <c r="H46" s="90">
        <v>404</v>
      </c>
      <c r="I46" s="89">
        <f t="shared" si="5"/>
        <v>323.20000000000005</v>
      </c>
      <c r="J46" s="65">
        <v>519</v>
      </c>
      <c r="K46" s="65">
        <f>J46*0.8</f>
        <v>415.20000000000005</v>
      </c>
      <c r="L46" s="65" t="s">
        <v>182</v>
      </c>
      <c r="M46" s="65" t="s">
        <v>182</v>
      </c>
      <c r="N46" s="94">
        <v>488</v>
      </c>
      <c r="O46" s="95">
        <f t="shared" si="0"/>
        <v>390.40000000000003</v>
      </c>
      <c r="P46" s="94">
        <v>500</v>
      </c>
      <c r="Q46" s="95">
        <f t="shared" si="1"/>
        <v>400</v>
      </c>
      <c r="R46" s="94">
        <v>506</v>
      </c>
      <c r="S46" s="95">
        <f t="shared" si="8"/>
        <v>404.8</v>
      </c>
      <c r="T46" s="95">
        <v>519</v>
      </c>
      <c r="U46" s="95">
        <f t="shared" si="6"/>
        <v>415.20000000000005</v>
      </c>
    </row>
    <row r="47" spans="1:21" ht="13.5" customHeight="1" x14ac:dyDescent="0.15">
      <c r="A47" s="32" t="s">
        <v>28</v>
      </c>
      <c r="B47" s="90">
        <v>425</v>
      </c>
      <c r="C47" s="89">
        <f t="shared" si="2"/>
        <v>340</v>
      </c>
      <c r="D47" s="90">
        <v>425</v>
      </c>
      <c r="E47" s="89">
        <f t="shared" si="9"/>
        <v>340</v>
      </c>
      <c r="F47" s="90">
        <v>425</v>
      </c>
      <c r="G47" s="89">
        <f t="shared" si="4"/>
        <v>340</v>
      </c>
      <c r="H47" s="90">
        <v>425</v>
      </c>
      <c r="I47" s="89">
        <f t="shared" si="5"/>
        <v>340</v>
      </c>
      <c r="J47" s="65">
        <v>550</v>
      </c>
      <c r="K47" s="65">
        <f>J47*0.8</f>
        <v>440</v>
      </c>
      <c r="L47" s="65" t="s">
        <v>182</v>
      </c>
      <c r="M47" s="65" t="s">
        <v>182</v>
      </c>
      <c r="N47" s="94">
        <v>500</v>
      </c>
      <c r="O47" s="95">
        <f t="shared" si="0"/>
        <v>400</v>
      </c>
      <c r="P47" s="94">
        <v>528</v>
      </c>
      <c r="Q47" s="95">
        <f t="shared" si="1"/>
        <v>422.40000000000003</v>
      </c>
      <c r="R47" s="94">
        <v>550</v>
      </c>
      <c r="S47" s="95">
        <f t="shared" si="8"/>
        <v>440</v>
      </c>
      <c r="T47" s="95">
        <v>550</v>
      </c>
      <c r="U47" s="95">
        <f t="shared" si="6"/>
        <v>440</v>
      </c>
    </row>
    <row r="48" spans="1:21" ht="13.5" customHeight="1" x14ac:dyDescent="0.15">
      <c r="A48" s="32"/>
      <c r="B48" s="90"/>
      <c r="C48" s="89"/>
      <c r="D48" s="90"/>
      <c r="E48" s="89"/>
      <c r="F48" s="90"/>
      <c r="G48" s="89"/>
      <c r="H48" s="90"/>
      <c r="I48" s="89"/>
      <c r="J48" s="35"/>
      <c r="K48" s="35"/>
      <c r="L48" s="65"/>
      <c r="M48" s="65"/>
      <c r="N48" s="94"/>
      <c r="O48" s="95"/>
      <c r="P48" s="94"/>
      <c r="Q48" s="95"/>
      <c r="R48" s="94"/>
      <c r="S48" s="95"/>
      <c r="T48" s="95"/>
      <c r="U48" s="95"/>
    </row>
    <row r="49" spans="1:21" ht="13.5" customHeight="1" x14ac:dyDescent="0.15">
      <c r="A49" s="32" t="s">
        <v>33</v>
      </c>
      <c r="B49" s="91">
        <v>495</v>
      </c>
      <c r="C49" s="89">
        <f t="shared" si="2"/>
        <v>396</v>
      </c>
      <c r="D49" s="91">
        <v>495</v>
      </c>
      <c r="E49" s="89">
        <f t="shared" ref="E49:E54" si="10">D49*0.8</f>
        <v>396</v>
      </c>
      <c r="F49" s="91">
        <v>495</v>
      </c>
      <c r="G49" s="89">
        <f t="shared" si="4"/>
        <v>396</v>
      </c>
      <c r="H49" s="90">
        <v>495</v>
      </c>
      <c r="I49" s="89">
        <f t="shared" si="5"/>
        <v>396</v>
      </c>
      <c r="J49" s="65">
        <v>540</v>
      </c>
      <c r="K49" s="65">
        <f t="shared" ref="K49:K54" si="11">J49*0.8</f>
        <v>432</v>
      </c>
      <c r="L49" s="65">
        <v>540</v>
      </c>
      <c r="M49" s="65">
        <f t="shared" si="7"/>
        <v>432</v>
      </c>
      <c r="N49" s="94">
        <v>569</v>
      </c>
      <c r="O49" s="95">
        <f t="shared" si="0"/>
        <v>455.20000000000005</v>
      </c>
      <c r="P49" s="94">
        <v>600</v>
      </c>
      <c r="Q49" s="95">
        <f t="shared" si="1"/>
        <v>480</v>
      </c>
      <c r="R49" s="94">
        <v>631</v>
      </c>
      <c r="S49" s="95">
        <f t="shared" si="8"/>
        <v>504.8</v>
      </c>
      <c r="T49" s="95">
        <v>644</v>
      </c>
      <c r="U49" s="95">
        <f t="shared" si="6"/>
        <v>515.20000000000005</v>
      </c>
    </row>
    <row r="50" spans="1:21" ht="13.5" customHeight="1" x14ac:dyDescent="0.15">
      <c r="A50" s="32" t="s">
        <v>34</v>
      </c>
      <c r="B50" s="90">
        <v>530</v>
      </c>
      <c r="C50" s="89">
        <f t="shared" si="2"/>
        <v>424</v>
      </c>
      <c r="D50" s="90">
        <v>530</v>
      </c>
      <c r="E50" s="89">
        <f t="shared" si="10"/>
        <v>424</v>
      </c>
      <c r="F50" s="90">
        <v>530</v>
      </c>
      <c r="G50" s="89">
        <f t="shared" si="4"/>
        <v>424</v>
      </c>
      <c r="H50" s="90">
        <v>530</v>
      </c>
      <c r="I50" s="89">
        <f t="shared" si="5"/>
        <v>424</v>
      </c>
      <c r="J50" s="65">
        <v>673</v>
      </c>
      <c r="K50" s="65">
        <f t="shared" si="11"/>
        <v>538.4</v>
      </c>
      <c r="L50" s="65">
        <v>673</v>
      </c>
      <c r="M50" s="65">
        <f t="shared" si="7"/>
        <v>538.4</v>
      </c>
      <c r="N50" s="94">
        <v>606</v>
      </c>
      <c r="O50" s="95">
        <f t="shared" si="0"/>
        <v>484.8</v>
      </c>
      <c r="P50" s="94">
        <v>644</v>
      </c>
      <c r="Q50" s="95">
        <f t="shared" si="1"/>
        <v>515.20000000000005</v>
      </c>
      <c r="R50" s="94">
        <v>673</v>
      </c>
      <c r="S50" s="95">
        <f t="shared" si="8"/>
        <v>538.4</v>
      </c>
      <c r="T50" s="95">
        <v>694</v>
      </c>
      <c r="U50" s="95">
        <f t="shared" si="6"/>
        <v>555.20000000000005</v>
      </c>
    </row>
    <row r="51" spans="1:21" ht="13.5" customHeight="1" x14ac:dyDescent="0.15">
      <c r="A51" s="32" t="s">
        <v>35</v>
      </c>
      <c r="B51" s="89">
        <v>600</v>
      </c>
      <c r="C51" s="89">
        <f t="shared" si="2"/>
        <v>480</v>
      </c>
      <c r="D51" s="89">
        <v>600</v>
      </c>
      <c r="E51" s="89">
        <f t="shared" si="10"/>
        <v>480</v>
      </c>
      <c r="F51" s="89">
        <v>600</v>
      </c>
      <c r="G51" s="89">
        <f t="shared" si="4"/>
        <v>480</v>
      </c>
      <c r="H51" s="89">
        <v>600</v>
      </c>
      <c r="I51" s="89">
        <f t="shared" si="5"/>
        <v>480</v>
      </c>
      <c r="J51" s="101">
        <v>700</v>
      </c>
      <c r="K51" s="65">
        <f t="shared" si="11"/>
        <v>560</v>
      </c>
      <c r="L51" s="101">
        <v>700</v>
      </c>
      <c r="M51" s="65">
        <f t="shared" si="7"/>
        <v>560</v>
      </c>
      <c r="N51" s="102">
        <v>688</v>
      </c>
      <c r="O51" s="102">
        <f>N51*0.8</f>
        <v>550.4</v>
      </c>
      <c r="P51" s="102">
        <v>720</v>
      </c>
      <c r="Q51" s="102">
        <f>P51*0.8</f>
        <v>576</v>
      </c>
      <c r="R51" s="102">
        <v>740</v>
      </c>
      <c r="S51" s="102">
        <f>R51*0.8</f>
        <v>592</v>
      </c>
      <c r="T51" s="102">
        <v>760</v>
      </c>
      <c r="U51" s="102">
        <f>T51*0.8</f>
        <v>608</v>
      </c>
    </row>
    <row r="52" spans="1:21" ht="13.5" customHeight="1" x14ac:dyDescent="0.15">
      <c r="A52" s="32" t="s">
        <v>36</v>
      </c>
      <c r="B52" s="91">
        <v>660</v>
      </c>
      <c r="C52" s="89">
        <f t="shared" si="2"/>
        <v>528</v>
      </c>
      <c r="D52" s="91">
        <v>660</v>
      </c>
      <c r="E52" s="89">
        <f t="shared" si="10"/>
        <v>528</v>
      </c>
      <c r="F52" s="91">
        <v>660</v>
      </c>
      <c r="G52" s="89">
        <f t="shared" si="4"/>
        <v>528</v>
      </c>
      <c r="H52" s="90">
        <v>660</v>
      </c>
      <c r="I52" s="89">
        <f t="shared" si="5"/>
        <v>528</v>
      </c>
      <c r="J52" s="65">
        <v>730</v>
      </c>
      <c r="K52" s="65">
        <f t="shared" si="11"/>
        <v>584</v>
      </c>
      <c r="L52" s="65">
        <v>730</v>
      </c>
      <c r="M52" s="65">
        <f t="shared" si="7"/>
        <v>584</v>
      </c>
      <c r="N52" s="94">
        <v>738</v>
      </c>
      <c r="O52" s="95">
        <f t="shared" si="0"/>
        <v>590.4</v>
      </c>
      <c r="P52" s="94">
        <v>769</v>
      </c>
      <c r="Q52" s="95">
        <f t="shared" si="1"/>
        <v>615.20000000000005</v>
      </c>
      <c r="R52" s="94">
        <v>798</v>
      </c>
      <c r="S52" s="95">
        <f t="shared" si="8"/>
        <v>638.40000000000009</v>
      </c>
      <c r="T52" s="95">
        <v>819</v>
      </c>
      <c r="U52" s="95">
        <f t="shared" si="6"/>
        <v>655.20000000000005</v>
      </c>
    </row>
    <row r="53" spans="1:21" ht="13.5" customHeight="1" x14ac:dyDescent="0.15">
      <c r="A53" s="32" t="s">
        <v>47</v>
      </c>
      <c r="B53" s="89">
        <v>675</v>
      </c>
      <c r="C53" s="89">
        <f t="shared" si="2"/>
        <v>540</v>
      </c>
      <c r="D53" s="89">
        <v>675</v>
      </c>
      <c r="E53" s="89">
        <f t="shared" si="10"/>
        <v>540</v>
      </c>
      <c r="F53" s="89">
        <v>675</v>
      </c>
      <c r="G53" s="89">
        <f t="shared" si="4"/>
        <v>540</v>
      </c>
      <c r="H53" s="89">
        <v>675</v>
      </c>
      <c r="I53" s="89">
        <f t="shared" si="5"/>
        <v>540</v>
      </c>
      <c r="J53" s="101">
        <v>750</v>
      </c>
      <c r="K53" s="101">
        <f t="shared" si="11"/>
        <v>600</v>
      </c>
      <c r="L53" s="101">
        <v>750</v>
      </c>
      <c r="M53" s="101">
        <f>L53*0.8</f>
        <v>600</v>
      </c>
      <c r="N53" s="102">
        <v>750</v>
      </c>
      <c r="O53" s="102">
        <f>N53*0.8</f>
        <v>600</v>
      </c>
      <c r="P53" s="102">
        <v>780</v>
      </c>
      <c r="Q53" s="102">
        <f>P53*0.8</f>
        <v>624</v>
      </c>
      <c r="R53" s="117">
        <v>813</v>
      </c>
      <c r="S53" s="102">
        <f>R53*0.8</f>
        <v>650.40000000000009</v>
      </c>
      <c r="T53" s="102">
        <v>830</v>
      </c>
      <c r="U53" s="102">
        <f>T53*0.8</f>
        <v>664</v>
      </c>
    </row>
    <row r="54" spans="1:21" x14ac:dyDescent="0.15">
      <c r="A54" s="32" t="s">
        <v>37</v>
      </c>
      <c r="B54" s="91">
        <v>738</v>
      </c>
      <c r="C54" s="89">
        <f t="shared" si="2"/>
        <v>590.4</v>
      </c>
      <c r="D54" s="91">
        <v>738</v>
      </c>
      <c r="E54" s="89">
        <f t="shared" si="10"/>
        <v>590.4</v>
      </c>
      <c r="F54" s="91">
        <v>738</v>
      </c>
      <c r="G54" s="89">
        <f t="shared" si="4"/>
        <v>590.4</v>
      </c>
      <c r="H54" s="90">
        <v>715</v>
      </c>
      <c r="I54" s="89">
        <f t="shared" si="5"/>
        <v>572</v>
      </c>
      <c r="J54" s="65">
        <v>906</v>
      </c>
      <c r="K54" s="65">
        <f t="shared" si="11"/>
        <v>724.80000000000007</v>
      </c>
      <c r="L54" s="65">
        <v>906</v>
      </c>
      <c r="M54" s="65">
        <f t="shared" si="7"/>
        <v>724.80000000000007</v>
      </c>
      <c r="N54" s="94">
        <v>850</v>
      </c>
      <c r="O54" s="95">
        <f t="shared" si="0"/>
        <v>680</v>
      </c>
      <c r="P54" s="94">
        <v>900</v>
      </c>
      <c r="Q54" s="95">
        <f t="shared" si="1"/>
        <v>720</v>
      </c>
      <c r="R54" s="94">
        <v>938</v>
      </c>
      <c r="S54" s="95">
        <f t="shared" si="8"/>
        <v>750.40000000000009</v>
      </c>
      <c r="T54" s="95">
        <v>906</v>
      </c>
      <c r="U54" s="95">
        <f t="shared" si="6"/>
        <v>724.80000000000007</v>
      </c>
    </row>
    <row r="55" spans="1:21" x14ac:dyDescent="0.15">
      <c r="A55" s="1"/>
      <c r="B55" s="9"/>
      <c r="C55" s="10"/>
      <c r="D55" s="11"/>
      <c r="E55" s="10"/>
      <c r="F55" s="11"/>
      <c r="G55" s="12"/>
      <c r="H55" s="10"/>
      <c r="I55" s="10"/>
      <c r="J55" s="13"/>
      <c r="K55" s="10"/>
      <c r="L55" s="10"/>
      <c r="M55" s="10"/>
      <c r="N55" s="14"/>
      <c r="O55" s="14"/>
      <c r="P55" s="14"/>
      <c r="Q55" s="14"/>
      <c r="R55" s="14"/>
      <c r="S55" s="14"/>
      <c r="T55" s="14"/>
      <c r="U55" s="15"/>
    </row>
    <row r="56" spans="1:21" x14ac:dyDescent="0.15">
      <c r="A56" s="24" t="s">
        <v>68</v>
      </c>
      <c r="B56" s="139" t="s">
        <v>66</v>
      </c>
      <c r="C56" s="140"/>
      <c r="D56" s="140"/>
      <c r="E56" s="140"/>
      <c r="F56" s="140"/>
      <c r="G56" s="140"/>
      <c r="H56" s="140"/>
      <c r="I56" s="141"/>
      <c r="J56" s="135" t="s">
        <v>67</v>
      </c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6"/>
    </row>
    <row r="57" spans="1:21" x14ac:dyDescent="0.15">
      <c r="A57" s="24" t="s">
        <v>58</v>
      </c>
      <c r="B57" s="128">
        <v>0.8</v>
      </c>
      <c r="C57" s="129"/>
      <c r="D57" s="128">
        <v>0.8</v>
      </c>
      <c r="E57" s="129"/>
      <c r="F57" s="128">
        <v>0.8</v>
      </c>
      <c r="G57" s="129"/>
      <c r="H57" s="128">
        <v>0.8</v>
      </c>
      <c r="I57" s="129"/>
      <c r="J57" s="130">
        <v>0.8</v>
      </c>
      <c r="K57" s="131"/>
      <c r="L57" s="20">
        <v>0.8</v>
      </c>
      <c r="M57" s="21"/>
      <c r="N57" s="20">
        <v>0.8</v>
      </c>
      <c r="O57" s="21"/>
      <c r="P57" s="130">
        <v>0.8</v>
      </c>
      <c r="Q57" s="131"/>
      <c r="R57" s="130">
        <v>0.8</v>
      </c>
      <c r="S57" s="131"/>
      <c r="T57" s="130">
        <v>0.8</v>
      </c>
      <c r="U57" s="131"/>
    </row>
    <row r="58" spans="1:21" x14ac:dyDescent="0.15">
      <c r="A58" s="24" t="s">
        <v>59</v>
      </c>
      <c r="B58" s="17"/>
      <c r="C58" s="18"/>
      <c r="D58" s="17"/>
      <c r="E58" s="18"/>
      <c r="F58" s="17"/>
      <c r="G58" s="18"/>
      <c r="H58" s="53"/>
      <c r="I58" s="53"/>
      <c r="J58" s="20"/>
      <c r="K58" s="21"/>
      <c r="L58" s="20"/>
      <c r="M58" s="21"/>
      <c r="N58" s="20"/>
      <c r="O58" s="21"/>
      <c r="P58" s="20"/>
      <c r="Q58" s="21"/>
      <c r="R58" s="20"/>
      <c r="S58" s="21"/>
      <c r="T58" s="20"/>
      <c r="U58" s="21"/>
    </row>
    <row r="59" spans="1:21" x14ac:dyDescent="0.15">
      <c r="A59" s="24" t="s">
        <v>104</v>
      </c>
      <c r="B59" s="128">
        <v>380</v>
      </c>
      <c r="C59" s="129"/>
      <c r="D59" s="137">
        <v>400</v>
      </c>
      <c r="E59" s="137"/>
      <c r="F59" s="128">
        <v>415</v>
      </c>
      <c r="G59" s="129"/>
      <c r="H59" s="128">
        <v>440</v>
      </c>
      <c r="I59" s="129"/>
      <c r="J59" s="130" t="s">
        <v>48</v>
      </c>
      <c r="K59" s="131"/>
      <c r="L59" s="20"/>
      <c r="M59" s="21"/>
      <c r="N59" s="54">
        <v>416</v>
      </c>
      <c r="O59" s="52"/>
      <c r="P59" s="130">
        <v>440</v>
      </c>
      <c r="Q59" s="131"/>
      <c r="R59" s="130">
        <v>460</v>
      </c>
      <c r="S59" s="131"/>
      <c r="T59" s="130">
        <v>480</v>
      </c>
      <c r="U59" s="131"/>
    </row>
    <row r="60" spans="1:21" x14ac:dyDescent="0.15">
      <c r="A60" s="24" t="s">
        <v>105</v>
      </c>
      <c r="B60" s="128">
        <v>220</v>
      </c>
      <c r="C60" s="129"/>
      <c r="D60" s="128">
        <v>230</v>
      </c>
      <c r="E60" s="129"/>
      <c r="F60" s="128">
        <v>240</v>
      </c>
      <c r="G60" s="129"/>
      <c r="H60" s="128">
        <v>254</v>
      </c>
      <c r="I60" s="129"/>
      <c r="J60" s="130" t="s">
        <v>50</v>
      </c>
      <c r="K60" s="131"/>
      <c r="L60" s="20"/>
      <c r="M60" s="21"/>
      <c r="N60" s="54">
        <v>240</v>
      </c>
      <c r="O60" s="52"/>
      <c r="P60" s="126">
        <v>254</v>
      </c>
      <c r="Q60" s="127"/>
      <c r="R60" s="126">
        <v>266</v>
      </c>
      <c r="S60" s="127"/>
      <c r="T60" s="126">
        <v>277</v>
      </c>
      <c r="U60" s="127"/>
    </row>
    <row r="61" spans="1:21" x14ac:dyDescent="0.15">
      <c r="A61" s="24" t="s">
        <v>106</v>
      </c>
      <c r="B61" s="128">
        <v>380</v>
      </c>
      <c r="C61" s="129"/>
      <c r="D61" s="137">
        <v>400</v>
      </c>
      <c r="E61" s="137"/>
      <c r="F61" s="128">
        <v>415</v>
      </c>
      <c r="G61" s="129"/>
      <c r="H61" s="128">
        <v>440</v>
      </c>
      <c r="I61" s="129"/>
      <c r="J61" s="135" t="s">
        <v>53</v>
      </c>
      <c r="K61" s="136"/>
      <c r="L61" s="130" t="s">
        <v>48</v>
      </c>
      <c r="M61" s="131"/>
      <c r="N61" s="54">
        <v>416</v>
      </c>
      <c r="O61" s="52"/>
      <c r="P61" s="130">
        <v>440</v>
      </c>
      <c r="Q61" s="131"/>
      <c r="R61" s="130">
        <v>460</v>
      </c>
      <c r="S61" s="131"/>
      <c r="T61" s="130">
        <v>480</v>
      </c>
      <c r="U61" s="131"/>
    </row>
    <row r="62" spans="1:21" x14ac:dyDescent="0.15">
      <c r="A62" s="24" t="s">
        <v>107</v>
      </c>
      <c r="B62" s="128">
        <v>190</v>
      </c>
      <c r="C62" s="129"/>
      <c r="D62" s="128">
        <v>200</v>
      </c>
      <c r="E62" s="129"/>
      <c r="F62" s="128">
        <v>208</v>
      </c>
      <c r="G62" s="129"/>
      <c r="H62" s="128">
        <v>220</v>
      </c>
      <c r="I62" s="129"/>
      <c r="J62" s="130" t="s">
        <v>53</v>
      </c>
      <c r="K62" s="131"/>
      <c r="L62" s="130" t="s">
        <v>49</v>
      </c>
      <c r="M62" s="131"/>
      <c r="N62" s="126">
        <v>208</v>
      </c>
      <c r="O62" s="127"/>
      <c r="P62" s="126">
        <v>220</v>
      </c>
      <c r="Q62" s="127"/>
      <c r="R62" s="126">
        <v>230</v>
      </c>
      <c r="S62" s="127"/>
      <c r="T62" s="126">
        <v>240</v>
      </c>
      <c r="U62" s="127"/>
    </row>
    <row r="63" spans="1:21" x14ac:dyDescent="0.15">
      <c r="A63" s="25" t="s">
        <v>62</v>
      </c>
      <c r="B63" s="128">
        <v>220</v>
      </c>
      <c r="C63" s="129"/>
      <c r="D63" s="128">
        <v>230</v>
      </c>
      <c r="E63" s="129"/>
      <c r="F63" s="128">
        <v>240</v>
      </c>
      <c r="G63" s="129"/>
      <c r="H63" s="128">
        <v>254</v>
      </c>
      <c r="I63" s="129"/>
      <c r="J63" s="135" t="s">
        <v>53</v>
      </c>
      <c r="K63" s="136"/>
      <c r="L63" s="130" t="s">
        <v>50</v>
      </c>
      <c r="M63" s="131"/>
      <c r="N63" s="54">
        <v>240</v>
      </c>
      <c r="O63" s="52"/>
      <c r="P63" s="126">
        <v>254</v>
      </c>
      <c r="Q63" s="127"/>
      <c r="R63" s="126">
        <v>266</v>
      </c>
      <c r="S63" s="127"/>
      <c r="T63" s="126">
        <v>277</v>
      </c>
      <c r="U63" s="127"/>
    </row>
    <row r="64" spans="1:21" x14ac:dyDescent="0.15">
      <c r="A64" s="25" t="s">
        <v>63</v>
      </c>
      <c r="B64" s="128" t="s">
        <v>55</v>
      </c>
      <c r="C64" s="129"/>
      <c r="D64" s="128" t="s">
        <v>55</v>
      </c>
      <c r="E64" s="129"/>
      <c r="F64" s="128" t="s">
        <v>55</v>
      </c>
      <c r="G64" s="129"/>
      <c r="H64" s="128" t="s">
        <v>55</v>
      </c>
      <c r="I64" s="129"/>
      <c r="J64" s="130">
        <v>13</v>
      </c>
      <c r="K64" s="131"/>
      <c r="L64" s="20">
        <v>14</v>
      </c>
      <c r="M64" s="21"/>
      <c r="N64" s="54" t="s">
        <v>55</v>
      </c>
      <c r="O64" s="52"/>
      <c r="P64" s="126" t="s">
        <v>55</v>
      </c>
      <c r="Q64" s="127"/>
      <c r="R64" s="126" t="s">
        <v>55</v>
      </c>
      <c r="S64" s="127"/>
      <c r="T64" s="126" t="s">
        <v>55</v>
      </c>
      <c r="U64" s="127"/>
    </row>
    <row r="65" spans="1:21" x14ac:dyDescent="0.15">
      <c r="A65" s="26" t="s">
        <v>64</v>
      </c>
      <c r="B65" s="19" t="s">
        <v>0</v>
      </c>
      <c r="C65" s="19" t="s">
        <v>1</v>
      </c>
      <c r="D65" s="19" t="s">
        <v>0</v>
      </c>
      <c r="E65" s="19" t="s">
        <v>1</v>
      </c>
      <c r="F65" s="19" t="s">
        <v>0</v>
      </c>
      <c r="G65" s="19" t="s">
        <v>1</v>
      </c>
      <c r="H65" s="19" t="s">
        <v>0</v>
      </c>
      <c r="I65" s="19" t="s">
        <v>1</v>
      </c>
      <c r="J65" s="22" t="s">
        <v>51</v>
      </c>
      <c r="K65" s="23" t="s">
        <v>52</v>
      </c>
      <c r="L65" s="22" t="s">
        <v>51</v>
      </c>
      <c r="M65" s="23" t="s">
        <v>52</v>
      </c>
      <c r="N65" s="23" t="s">
        <v>0</v>
      </c>
      <c r="O65" s="23" t="s">
        <v>1</v>
      </c>
      <c r="P65" s="23" t="s">
        <v>0</v>
      </c>
      <c r="Q65" s="23" t="s">
        <v>1</v>
      </c>
      <c r="R65" s="23" t="s">
        <v>0</v>
      </c>
      <c r="S65" s="23" t="s">
        <v>1</v>
      </c>
      <c r="T65" s="23" t="s">
        <v>0</v>
      </c>
      <c r="U65" s="23" t="s">
        <v>1</v>
      </c>
    </row>
    <row r="66" spans="1:21" x14ac:dyDescent="0.15">
      <c r="A66" s="32" t="s">
        <v>39</v>
      </c>
      <c r="B66" s="89">
        <f>'4P 3PH rating '!B66*1.05</f>
        <v>745.5</v>
      </c>
      <c r="C66" s="89">
        <f>'4P 3PH rating '!C66*1.05</f>
        <v>596.4</v>
      </c>
      <c r="D66" s="89">
        <f>'4P 3PH rating '!D66*1.05</f>
        <v>787.5</v>
      </c>
      <c r="E66" s="89">
        <f>'4P 3PH rating '!E66*1.05</f>
        <v>630</v>
      </c>
      <c r="F66" s="89">
        <f>'4P 3PH rating '!F66*1.05</f>
        <v>787.5</v>
      </c>
      <c r="G66" s="89">
        <f>'4P 3PH rating '!G66*1.05</f>
        <v>630</v>
      </c>
      <c r="H66" s="89">
        <f>'4P 3PH rating '!H66*1.05</f>
        <v>714</v>
      </c>
      <c r="I66" s="89">
        <f>'4P 3PH rating '!I66*1.05</f>
        <v>571.20000000000005</v>
      </c>
      <c r="J66" s="101">
        <f>'4P 3PH rating '!J66*1.05</f>
        <v>984.90000000000009</v>
      </c>
      <c r="K66" s="101">
        <f>'4P 3PH rating '!K66*1.05</f>
        <v>787.5</v>
      </c>
      <c r="L66" s="101">
        <f>'4P 3PH rating '!L66*1.05</f>
        <v>984.90000000000009</v>
      </c>
      <c r="M66" s="101">
        <f>'4P 3PH rating '!M66*1.05</f>
        <v>787.5</v>
      </c>
      <c r="N66" s="102">
        <f>'4P 3PH rating '!N66*1.05</f>
        <v>850.5</v>
      </c>
      <c r="O66" s="102">
        <f>'4P 3PH rating '!O66*1.05</f>
        <v>680.4</v>
      </c>
      <c r="P66" s="102">
        <f>'4P 3PH rating '!P66*1.05</f>
        <v>897.75</v>
      </c>
      <c r="Q66" s="102">
        <f>'4P 3PH rating '!Q66*1.05</f>
        <v>718.2</v>
      </c>
      <c r="R66" s="102">
        <f>'4P 3PH rating '!R66*1.05</f>
        <v>939.75</v>
      </c>
      <c r="S66" s="102">
        <f>'4P 3PH rating '!S66*1.05</f>
        <v>751.80000000000007</v>
      </c>
      <c r="T66" s="102">
        <f>'4P 3PH rating '!T66*1.05</f>
        <v>984.90000000000009</v>
      </c>
      <c r="U66" s="102">
        <f>'4P 3PH rating '!U66*1.05</f>
        <v>787.92000000000007</v>
      </c>
    </row>
    <row r="67" spans="1:21" x14ac:dyDescent="0.15">
      <c r="A67" s="33" t="s">
        <v>54</v>
      </c>
      <c r="B67" s="89">
        <f>'4P 3PH rating '!B67*1.05</f>
        <v>798</v>
      </c>
      <c r="C67" s="89">
        <f>'4P 3PH rating '!C67*1.05</f>
        <v>638.4</v>
      </c>
      <c r="D67" s="89">
        <f>'4P 3PH rating '!D67*1.05</f>
        <v>840</v>
      </c>
      <c r="E67" s="89">
        <f>'4P 3PH rating '!E67*1.05</f>
        <v>672</v>
      </c>
      <c r="F67" s="89">
        <f>'4P 3PH rating '!F67*1.05</f>
        <v>840</v>
      </c>
      <c r="G67" s="89">
        <f>'4P 3PH rating '!G67*1.05</f>
        <v>672</v>
      </c>
      <c r="H67" s="89">
        <f>'4P 3PH rating '!H67*1.05</f>
        <v>761.25</v>
      </c>
      <c r="I67" s="89">
        <f>'4P 3PH rating '!I67*1.05</f>
        <v>609</v>
      </c>
      <c r="J67" s="118" t="s">
        <v>184</v>
      </c>
      <c r="K67" s="118" t="s">
        <v>184</v>
      </c>
      <c r="L67" s="118" t="s">
        <v>184</v>
      </c>
      <c r="M67" s="118" t="s">
        <v>184</v>
      </c>
      <c r="N67" s="102">
        <f>'4P 3PH rating '!N67*1.05</f>
        <v>908.25</v>
      </c>
      <c r="O67" s="102">
        <f>'4P 3PH rating '!O67*1.05</f>
        <v>726.6</v>
      </c>
      <c r="P67" s="102">
        <f>'4P 3PH rating '!P67*1.05</f>
        <v>961.80000000000007</v>
      </c>
      <c r="Q67" s="102">
        <f>'4P 3PH rating '!Q67*1.05</f>
        <v>769.44</v>
      </c>
      <c r="R67" s="102">
        <f>'4P 3PH rating '!R67*1.05</f>
        <v>1005.9000000000001</v>
      </c>
      <c r="S67" s="102">
        <f>'4P 3PH rating '!S67*1.05</f>
        <v>804.72000000000014</v>
      </c>
      <c r="T67" s="102">
        <f>'4P 3PH rating '!T67*1.05</f>
        <v>1050</v>
      </c>
      <c r="U67" s="102">
        <f>'4P 3PH rating '!U67*1.05</f>
        <v>840</v>
      </c>
    </row>
    <row r="68" spans="1:21" x14ac:dyDescent="0.15">
      <c r="A68" s="32" t="s">
        <v>40</v>
      </c>
      <c r="B68" s="89">
        <f>'4P 3PH rating '!B68*1.05</f>
        <v>908.25</v>
      </c>
      <c r="C68" s="89">
        <f>'4P 3PH rating '!C68*1.05</f>
        <v>726.6</v>
      </c>
      <c r="D68" s="89">
        <f>'4P 3PH rating '!D68*1.05</f>
        <v>955.5</v>
      </c>
      <c r="E68" s="89">
        <f>'4P 3PH rating '!E68*1.05</f>
        <v>764.4</v>
      </c>
      <c r="F68" s="89">
        <f>'4P 3PH rating '!F68*1.05</f>
        <v>955.5</v>
      </c>
      <c r="G68" s="89">
        <f>'4P 3PH rating '!G68*1.05</f>
        <v>764.4</v>
      </c>
      <c r="H68" s="89">
        <f>'4P 3PH rating '!H68*1.05</f>
        <v>866.25</v>
      </c>
      <c r="I68" s="89">
        <f>'4P 3PH rating '!I68*1.05</f>
        <v>693</v>
      </c>
      <c r="J68" s="101">
        <f>'4P 3PH rating '!J68*1.05</f>
        <v>1116.1500000000001</v>
      </c>
      <c r="K68" s="101">
        <f>'4P 3PH rating '!K68*1.05</f>
        <v>892.5</v>
      </c>
      <c r="L68" s="101">
        <f>'4P 3PH rating '!L68*1.05</f>
        <v>1116.1500000000001</v>
      </c>
      <c r="M68" s="101">
        <f>'4P 3PH rating '!M68*1.05</f>
        <v>892.5</v>
      </c>
      <c r="N68" s="102">
        <f>'4P 3PH rating '!N68*1.05</f>
        <v>1035.3</v>
      </c>
      <c r="O68" s="102">
        <f>'4P 3PH rating '!O68*1.05</f>
        <v>828.24000000000012</v>
      </c>
      <c r="P68" s="102">
        <f>'4P 3PH rating '!P68*1.05</f>
        <v>1085.7</v>
      </c>
      <c r="Q68" s="102">
        <f>'4P 3PH rating '!Q68*1.05</f>
        <v>868.56000000000006</v>
      </c>
      <c r="R68" s="102">
        <f>'4P 3PH rating '!R68*1.05</f>
        <v>1144.5</v>
      </c>
      <c r="S68" s="102">
        <f>'4P 3PH rating '!S68*1.05</f>
        <v>915.6</v>
      </c>
      <c r="T68" s="102">
        <f>'4P 3PH rating '!T68*1.05</f>
        <v>1194.9000000000001</v>
      </c>
      <c r="U68" s="102">
        <f>'4P 3PH rating '!U68*1.05</f>
        <v>955.92000000000019</v>
      </c>
    </row>
    <row r="69" spans="1:21" x14ac:dyDescent="0.15">
      <c r="A69" s="32" t="s">
        <v>41</v>
      </c>
      <c r="B69" s="89">
        <f>'4P 3PH rating '!B69*1.05</f>
        <v>997.5</v>
      </c>
      <c r="C69" s="89">
        <f>'4P 3PH rating '!C69*1.05</f>
        <v>798</v>
      </c>
      <c r="D69" s="89">
        <f>'4P 3PH rating '!D69*1.05</f>
        <v>1050</v>
      </c>
      <c r="E69" s="89">
        <f>'4P 3PH rating '!E69*1.05</f>
        <v>840</v>
      </c>
      <c r="F69" s="89">
        <f>'4P 3PH rating '!F69*1.05</f>
        <v>1050</v>
      </c>
      <c r="G69" s="89">
        <f>'4P 3PH rating '!G69*1.05</f>
        <v>840</v>
      </c>
      <c r="H69" s="89">
        <f>'4P 3PH rating '!H69*1.05</f>
        <v>955.5</v>
      </c>
      <c r="I69" s="89">
        <f>'4P 3PH rating '!I69*1.05</f>
        <v>764.4</v>
      </c>
      <c r="J69" s="101">
        <f>'4P 3PH rating '!J69*1.05</f>
        <v>1312.5</v>
      </c>
      <c r="K69" s="101">
        <f>'4P 3PH rating '!K69*1.05</f>
        <v>1050</v>
      </c>
      <c r="L69" s="101">
        <f>'4P 3PH rating '!L69*1.05</f>
        <v>1312.5</v>
      </c>
      <c r="M69" s="101">
        <f>'4P 3PH rating '!M69*1.05</f>
        <v>1050</v>
      </c>
      <c r="N69" s="102">
        <f>'4P 3PH rating '!N69*1.05</f>
        <v>1137.1500000000001</v>
      </c>
      <c r="O69" s="102">
        <f>'4P 3PH rating '!O69*1.05</f>
        <v>909.72000000000014</v>
      </c>
      <c r="P69" s="102">
        <f>'4P 3PH rating '!P69*1.05</f>
        <v>1202.25</v>
      </c>
      <c r="Q69" s="102">
        <f>'4P 3PH rating '!Q69*1.05</f>
        <v>961.80000000000007</v>
      </c>
      <c r="R69" s="102">
        <f>'4P 3PH rating '!R69*1.05</f>
        <v>1256.8500000000001</v>
      </c>
      <c r="S69" s="102">
        <f>'4P 3PH rating '!S69*1.05</f>
        <v>1005.48</v>
      </c>
      <c r="T69" s="102">
        <f>'4P 3PH rating '!T69*1.05</f>
        <v>1312.5</v>
      </c>
      <c r="U69" s="102">
        <f>'4P 3PH rating '!U69*1.05</f>
        <v>1050</v>
      </c>
    </row>
    <row r="70" spans="1:21" x14ac:dyDescent="0.15">
      <c r="A70" s="32" t="s">
        <v>42</v>
      </c>
      <c r="B70" s="89">
        <f>'4P 3PH rating '!B70*1.05</f>
        <v>1144.5</v>
      </c>
      <c r="C70" s="89">
        <f>'4P 3PH rating '!C70*1.05</f>
        <v>915.6</v>
      </c>
      <c r="D70" s="89">
        <f>'4P 3PH rating '!D70*1.05</f>
        <v>1186.5</v>
      </c>
      <c r="E70" s="89">
        <f>'4P 3PH rating '!E70*1.05</f>
        <v>949.2</v>
      </c>
      <c r="F70" s="89">
        <f>'4P 3PH rating '!F70*1.05</f>
        <v>1186.5</v>
      </c>
      <c r="G70" s="89">
        <f>'4P 3PH rating '!G70*1.05</f>
        <v>949.2</v>
      </c>
      <c r="H70" s="89">
        <f>'4P 3PH rating '!H70*1.05</f>
        <v>1076.25</v>
      </c>
      <c r="I70" s="89">
        <f>'4P 3PH rating '!I70*1.05</f>
        <v>861</v>
      </c>
      <c r="J70" s="101">
        <f>'4P 3PH rating '!J70*1.05</f>
        <v>1386</v>
      </c>
      <c r="K70" s="101">
        <f>'4P 3PH rating '!K70*1.05</f>
        <v>1108.8</v>
      </c>
      <c r="L70" s="101">
        <f>'4P 3PH rating '!L70*1.05</f>
        <v>1386</v>
      </c>
      <c r="M70" s="101">
        <f>'4P 3PH rating '!M70*1.05</f>
        <v>1108.8</v>
      </c>
      <c r="N70" s="102">
        <f>'4P 3PH rating '!N70*1.05</f>
        <v>1264.2</v>
      </c>
      <c r="O70" s="102">
        <f>'4P 3PH rating '!O70*1.05</f>
        <v>1011.3600000000001</v>
      </c>
      <c r="P70" s="102">
        <f>'4P 3PH rating '!P70*1.05</f>
        <v>1337.7</v>
      </c>
      <c r="Q70" s="102">
        <f>'4P 3PH rating '!Q70*1.05</f>
        <v>1070.1600000000001</v>
      </c>
      <c r="R70" s="102">
        <f>'4P 3PH rating '!R70*1.05</f>
        <v>1398.6000000000001</v>
      </c>
      <c r="S70" s="102">
        <f>'4P 3PH rating '!S70*1.05</f>
        <v>1118.8800000000001</v>
      </c>
      <c r="T70" s="102">
        <f>'4P 3PH rating '!T70*1.05</f>
        <v>1459.5</v>
      </c>
      <c r="U70" s="102">
        <f>'4P 3PH rating '!U70*1.05</f>
        <v>1167.6000000000001</v>
      </c>
    </row>
    <row r="71" spans="1:21" ht="15" customHeight="1" x14ac:dyDescent="0.15">
      <c r="A71" s="32" t="s">
        <v>12</v>
      </c>
      <c r="B71" s="89">
        <f>'4P 3PH rating '!B71*1.05</f>
        <v>1249.5</v>
      </c>
      <c r="C71" s="89">
        <f>'4P 3PH rating '!C71*1.05</f>
        <v>999.6</v>
      </c>
      <c r="D71" s="89">
        <f>'4P 3PH rating '!D71*1.05</f>
        <v>1312.5</v>
      </c>
      <c r="E71" s="89">
        <f>'4P 3PH rating '!E71*1.05</f>
        <v>1050</v>
      </c>
      <c r="F71" s="89">
        <f>'4P 3PH rating '!F71*1.05</f>
        <v>1312.5</v>
      </c>
      <c r="G71" s="89">
        <f>'4P 3PH rating '!G71*1.05</f>
        <v>1050</v>
      </c>
      <c r="H71" s="89">
        <f>'4P 3PH rating '!H71*1.05</f>
        <v>1191.75</v>
      </c>
      <c r="I71" s="89">
        <f>'4P 3PH rating '!I71*1.05</f>
        <v>953.40000000000009</v>
      </c>
      <c r="J71" s="101">
        <f>'4P 3PH rating '!J71*1.05</f>
        <v>1575</v>
      </c>
      <c r="K71" s="101">
        <f>'4P 3PH rating '!K71*1.05</f>
        <v>1260</v>
      </c>
      <c r="L71" s="118" t="s">
        <v>184</v>
      </c>
      <c r="M71" s="118" t="s">
        <v>184</v>
      </c>
      <c r="N71" s="102">
        <f>'4P 3PH rating '!N71*1.05</f>
        <v>1375.5</v>
      </c>
      <c r="O71" s="102">
        <f>'4P 3PH rating '!O71*1.05</f>
        <v>1100.4000000000001</v>
      </c>
      <c r="P71" s="102">
        <f>'4P 3PH rating '!P71*1.05</f>
        <v>1455.3</v>
      </c>
      <c r="Q71" s="102">
        <f>'4P 3PH rating '!Q71*1.05</f>
        <v>1164.24</v>
      </c>
      <c r="R71" s="102">
        <f>'4P 3PH rating '!R71*1.05</f>
        <v>1521.45</v>
      </c>
      <c r="S71" s="102">
        <f>'4P 3PH rating '!S71*1.05</f>
        <v>1217.1600000000001</v>
      </c>
      <c r="T71" s="102">
        <f>'4P 3PH rating '!T71*1.05</f>
        <v>1588.65</v>
      </c>
      <c r="U71" s="102">
        <f>'4P 3PH rating '!U71*1.05</f>
        <v>1270.92</v>
      </c>
    </row>
    <row r="72" spans="1:21" ht="19.5" customHeight="1" x14ac:dyDescent="0.15">
      <c r="A72" s="6"/>
      <c r="B72" s="6"/>
      <c r="C72" s="5"/>
      <c r="D72" s="6"/>
      <c r="E72" s="5"/>
      <c r="F72" s="6"/>
      <c r="G72" s="5"/>
      <c r="H72" s="5"/>
      <c r="I72" s="5"/>
      <c r="J72" s="5"/>
      <c r="K72" s="5"/>
      <c r="L72" s="5"/>
      <c r="M72" s="5"/>
      <c r="N72" s="4"/>
      <c r="O72" s="4"/>
      <c r="P72" s="4"/>
      <c r="Q72" s="4"/>
      <c r="R72" s="4"/>
      <c r="S72" s="4"/>
      <c r="T72" s="4"/>
      <c r="U72" s="4"/>
    </row>
    <row r="73" spans="1:21" ht="15.75" customHeight="1" x14ac:dyDescent="0.15">
      <c r="A73" s="32" t="s">
        <v>117</v>
      </c>
      <c r="B73" s="89">
        <f>'4P 3PH rating '!B73*1.05</f>
        <v>1428</v>
      </c>
      <c r="C73" s="89">
        <f>'4P 3PH rating '!C73*1.05</f>
        <v>1142.4000000000001</v>
      </c>
      <c r="D73" s="89">
        <f>'4P 3PH rating '!D73*1.05</f>
        <v>1470</v>
      </c>
      <c r="E73" s="89">
        <f>'4P 3PH rating '!E73*1.05</f>
        <v>1176</v>
      </c>
      <c r="F73" s="89">
        <f>'4P 3PH rating '!F73*1.05</f>
        <v>1470</v>
      </c>
      <c r="G73" s="89">
        <f>'4P 3PH rating '!G73*1.05</f>
        <v>1176</v>
      </c>
      <c r="H73" s="89">
        <f>'4P 3PH rating '!H73*1.05</f>
        <v>1443.75</v>
      </c>
      <c r="I73" s="89">
        <f>'4P 3PH rating '!I73*1.05</f>
        <v>1155</v>
      </c>
      <c r="J73" s="101">
        <f>'4P 3PH rating '!J73*1.05</f>
        <v>1638</v>
      </c>
      <c r="K73" s="101">
        <f>'4P 3PH rating '!K73*1.05</f>
        <v>1310.4000000000001</v>
      </c>
      <c r="L73" s="118" t="s">
        <v>184</v>
      </c>
      <c r="M73" s="118" t="s">
        <v>184</v>
      </c>
      <c r="N73" s="102">
        <f>'4P 3PH rating '!N73*1.05</f>
        <v>1601.25</v>
      </c>
      <c r="O73" s="102">
        <f>'4P 3PH rating '!O73*1.05</f>
        <v>1281</v>
      </c>
      <c r="P73" s="102">
        <f>'4P 3PH rating '!P73*1.05</f>
        <v>1706.25</v>
      </c>
      <c r="Q73" s="102">
        <f>'4P 3PH rating '!Q73*1.05</f>
        <v>1365</v>
      </c>
      <c r="R73" s="102">
        <f>'4P 3PH rating '!R73*1.05</f>
        <v>1737.75</v>
      </c>
      <c r="S73" s="102">
        <f>'4P 3PH rating '!S73*1.05</f>
        <v>1390.2</v>
      </c>
      <c r="T73" s="102">
        <f>'4P 3PH rating '!T73*1.05</f>
        <v>1774.5</v>
      </c>
      <c r="U73" s="102">
        <f>'4P 3PH rating '!U73*1.05</f>
        <v>1419.6000000000001</v>
      </c>
    </row>
    <row r="74" spans="1:21" ht="15.75" customHeight="1" x14ac:dyDescent="0.15">
      <c r="A74" s="32" t="s">
        <v>118</v>
      </c>
      <c r="B74" s="89">
        <f>'4P 3PH rating '!B74*1.05</f>
        <v>1580.25</v>
      </c>
      <c r="C74" s="89">
        <f>'4P 3PH rating '!C74*1.05</f>
        <v>1264.2</v>
      </c>
      <c r="D74" s="89">
        <f>'4P 3PH rating '!D74*1.05</f>
        <v>1627.5</v>
      </c>
      <c r="E74" s="89">
        <f>'4P 3PH rating '!E74*1.05</f>
        <v>1302</v>
      </c>
      <c r="F74" s="89">
        <f>'4P 3PH rating '!F74*1.05</f>
        <v>1627.5</v>
      </c>
      <c r="G74" s="89">
        <f>'4P 3PH rating '!G74*1.05</f>
        <v>1302</v>
      </c>
      <c r="H74" s="89">
        <f>'4P 3PH rating '!H74*1.05</f>
        <v>1596</v>
      </c>
      <c r="I74" s="89">
        <f>'4P 3PH rating '!I74*1.05</f>
        <v>1276.8</v>
      </c>
      <c r="J74" s="101">
        <f>'4P 3PH rating '!J74*1.05</f>
        <v>1858.5</v>
      </c>
      <c r="K74" s="101">
        <f>'4P 3PH rating '!K74*1.05</f>
        <v>1486.8</v>
      </c>
      <c r="L74" s="118" t="s">
        <v>184</v>
      </c>
      <c r="M74" s="118" t="s">
        <v>184</v>
      </c>
      <c r="N74" s="102">
        <f>'4P 3PH rating '!N74*1.05</f>
        <v>1790.25</v>
      </c>
      <c r="O74" s="102">
        <f>'4P 3PH rating '!O74*1.05</f>
        <v>1432.2</v>
      </c>
      <c r="P74" s="102">
        <f>'4P 3PH rating '!P74*1.05</f>
        <v>1905.75</v>
      </c>
      <c r="Q74" s="102">
        <f>'4P 3PH rating '!Q74*1.05</f>
        <v>1524.6000000000001</v>
      </c>
      <c r="R74" s="102">
        <f>'4P 3PH rating '!R74*1.05</f>
        <v>1947.75</v>
      </c>
      <c r="S74" s="102">
        <f>'4P 3PH rating '!S74*1.05</f>
        <v>1558.2</v>
      </c>
      <c r="T74" s="102">
        <f>'4P 3PH rating '!T74*1.05</f>
        <v>1984.5</v>
      </c>
      <c r="U74" s="102">
        <f>'4P 3PH rating '!U74*1.05</f>
        <v>1587.6000000000001</v>
      </c>
    </row>
    <row r="75" spans="1:21" ht="15.75" customHeight="1" x14ac:dyDescent="0.15">
      <c r="A75" s="32" t="s">
        <v>119</v>
      </c>
      <c r="B75" s="89">
        <f>'4P 3PH rating '!B75*1.05</f>
        <v>1695.75</v>
      </c>
      <c r="C75" s="89">
        <f>'4P 3PH rating '!C75*1.05</f>
        <v>1356.6000000000001</v>
      </c>
      <c r="D75" s="89">
        <f>'4P 3PH rating '!D75*1.05</f>
        <v>1732.5</v>
      </c>
      <c r="E75" s="89">
        <f>'4P 3PH rating '!E75*1.05</f>
        <v>1386</v>
      </c>
      <c r="F75" s="89">
        <f>'4P 3PH rating '!F75*1.05</f>
        <v>1732.5</v>
      </c>
      <c r="G75" s="89">
        <f>'4P 3PH rating '!G75*1.05</f>
        <v>1386</v>
      </c>
      <c r="H75" s="89">
        <f>'4P 3PH rating '!H75*1.05</f>
        <v>1701</v>
      </c>
      <c r="I75" s="89">
        <f>'4P 3PH rating '!I75*1.05</f>
        <v>1360.8</v>
      </c>
      <c r="J75" s="101">
        <f>'4P 3PH rating '!J75*1.05</f>
        <v>2010.75</v>
      </c>
      <c r="K75" s="101">
        <f>'4P 3PH rating '!K75*1.05</f>
        <v>1608.6000000000001</v>
      </c>
      <c r="L75" s="118" t="s">
        <v>184</v>
      </c>
      <c r="M75" s="118" t="s">
        <v>184</v>
      </c>
      <c r="N75" s="102">
        <f>'4P 3PH rating '!N75*1.05</f>
        <v>1905.75</v>
      </c>
      <c r="O75" s="102">
        <f>'4P 3PH rating '!O75*1.05</f>
        <v>1524.6000000000001</v>
      </c>
      <c r="P75" s="102">
        <f>'4P 3PH rating '!P75*1.05</f>
        <v>2031.75</v>
      </c>
      <c r="Q75" s="102">
        <f>'4P 3PH rating '!Q75*1.05</f>
        <v>1625.4</v>
      </c>
      <c r="R75" s="102">
        <f>'4P 3PH rating '!R75*1.05</f>
        <v>2073.75</v>
      </c>
      <c r="S75" s="102">
        <f>'4P 3PH rating '!S75*1.05</f>
        <v>1659</v>
      </c>
      <c r="T75" s="102">
        <f>'4P 3PH rating '!T75*1.05</f>
        <v>2115.75</v>
      </c>
      <c r="U75" s="102">
        <f>'4P 3PH rating '!U75*1.05</f>
        <v>1692.6000000000001</v>
      </c>
    </row>
    <row r="76" spans="1:21" ht="15.75" customHeight="1" x14ac:dyDescent="0.15">
      <c r="A76" s="32" t="s">
        <v>120</v>
      </c>
      <c r="B76" s="89">
        <f>'4P 3PH rating '!B76*1.05</f>
        <v>1937.25</v>
      </c>
      <c r="C76" s="89">
        <f>'4P 3PH rating '!C76*1.05</f>
        <v>1549.8</v>
      </c>
      <c r="D76" s="89">
        <f>'4P 3PH rating '!D76*1.05</f>
        <v>1995</v>
      </c>
      <c r="E76" s="89">
        <f>'4P 3PH rating '!E76*1.05</f>
        <v>1596</v>
      </c>
      <c r="F76" s="89">
        <f>'4P 3PH rating '!F76*1.05</f>
        <v>1995</v>
      </c>
      <c r="G76" s="89">
        <f>'4P 3PH rating '!G76*1.05</f>
        <v>1596</v>
      </c>
      <c r="H76" s="89">
        <f>'4P 3PH rating '!H76*1.05</f>
        <v>1958.25</v>
      </c>
      <c r="I76" s="89">
        <f>'4P 3PH rating '!I76*1.05</f>
        <v>1566.6000000000001</v>
      </c>
      <c r="J76" s="118" t="s">
        <v>184</v>
      </c>
      <c r="K76" s="118" t="s">
        <v>184</v>
      </c>
      <c r="L76" s="118" t="s">
        <v>184</v>
      </c>
      <c r="M76" s="118" t="s">
        <v>184</v>
      </c>
      <c r="N76" s="102">
        <f>'4P 3PH rating '!N76*1.05</f>
        <v>2173.5</v>
      </c>
      <c r="O76" s="102">
        <f>'4P 3PH rating '!O76*1.05</f>
        <v>1738.8000000000002</v>
      </c>
      <c r="P76" s="102">
        <f>'4P 3PH rating '!P76*1.05</f>
        <v>2320.5</v>
      </c>
      <c r="Q76" s="102">
        <f>'4P 3PH rating '!Q76*1.05</f>
        <v>1856.4</v>
      </c>
      <c r="R76" s="102">
        <f>'4P 3PH rating '!R76*1.05</f>
        <v>2362.5</v>
      </c>
      <c r="S76" s="102">
        <f>'4P 3PH rating '!S76*1.05</f>
        <v>1890</v>
      </c>
      <c r="T76" s="102">
        <f>'4P 3PH rating '!T76*1.05</f>
        <v>2415</v>
      </c>
      <c r="U76" s="102">
        <f>'4P 3PH rating '!U76*1.05</f>
        <v>1932</v>
      </c>
    </row>
    <row r="77" spans="1:21" ht="15.75" customHeight="1" x14ac:dyDescent="0.15">
      <c r="A77" s="32" t="s">
        <v>121</v>
      </c>
      <c r="B77" s="89">
        <f>'4P 3PH rating '!B77*1.05</f>
        <v>2121</v>
      </c>
      <c r="C77" s="89">
        <f>'4P 3PH rating '!C77*1.05</f>
        <v>1696.8000000000002</v>
      </c>
      <c r="D77" s="89">
        <f>'4P 3PH rating '!D77*1.05</f>
        <v>2184</v>
      </c>
      <c r="E77" s="89">
        <f>'4P 3PH rating '!E77*1.05</f>
        <v>1747.2</v>
      </c>
      <c r="F77" s="89">
        <f>'4P 3PH rating '!F77*1.05</f>
        <v>2184</v>
      </c>
      <c r="G77" s="89">
        <f>'4P 3PH rating '!G77*1.05</f>
        <v>1747.2</v>
      </c>
      <c r="H77" s="89">
        <f>'4P 3PH rating '!H77*1.05</f>
        <v>2142</v>
      </c>
      <c r="I77" s="89">
        <f>'4P 3PH rating '!I77*1.05</f>
        <v>1713.6000000000001</v>
      </c>
      <c r="J77" s="101">
        <f>'4P 3PH rating '!J77*1.05</f>
        <v>2625</v>
      </c>
      <c r="K77" s="101">
        <f>'4P 3PH rating '!K77*1.05</f>
        <v>2100</v>
      </c>
      <c r="L77" s="118" t="s">
        <v>184</v>
      </c>
      <c r="M77" s="118" t="s">
        <v>184</v>
      </c>
      <c r="N77" s="102">
        <f>'4P 3PH rating '!N77*1.05</f>
        <v>2462.25</v>
      </c>
      <c r="O77" s="102">
        <f>'4P 3PH rating '!O77*1.05</f>
        <v>1969.8000000000002</v>
      </c>
      <c r="P77" s="102">
        <f>'4P 3PH rating '!P77*1.05</f>
        <v>2625</v>
      </c>
      <c r="Q77" s="102">
        <f>'4P 3PH rating '!Q77*1.05</f>
        <v>2100</v>
      </c>
      <c r="R77" s="102">
        <f>'4P 3PH rating '!R77*1.05</f>
        <v>2677.5</v>
      </c>
      <c r="S77" s="102">
        <f>'4P 3PH rating '!S77*1.05</f>
        <v>2142</v>
      </c>
      <c r="T77" s="102">
        <f>'4P 3PH rating '!T77*1.05</f>
        <v>2730</v>
      </c>
      <c r="U77" s="102">
        <f>'4P 3PH rating '!U77*1.05</f>
        <v>2184</v>
      </c>
    </row>
    <row r="78" spans="1:21" ht="15.75" customHeight="1" x14ac:dyDescent="0.15">
      <c r="A78" s="32" t="s">
        <v>122</v>
      </c>
      <c r="B78" s="89">
        <f>'4P 3PH rating '!B78*1.05</f>
        <v>2241.75</v>
      </c>
      <c r="C78" s="89">
        <f>'4P 3PH rating '!C78*1.05</f>
        <v>1793.4</v>
      </c>
      <c r="D78" s="89">
        <f>'4P 3PH rating '!D78*1.05</f>
        <v>2310</v>
      </c>
      <c r="E78" s="89">
        <f>'4P 3PH rating '!E78*1.05</f>
        <v>1848</v>
      </c>
      <c r="F78" s="89">
        <f>'4P 3PH rating '!F78*1.05</f>
        <v>2310</v>
      </c>
      <c r="G78" s="89">
        <f>'4P 3PH rating '!G78*1.05</f>
        <v>1848</v>
      </c>
      <c r="H78" s="89">
        <f>'4P 3PH rating '!H78*1.05</f>
        <v>2268</v>
      </c>
      <c r="I78" s="89">
        <f>'4P 3PH rating '!I78*1.05</f>
        <v>1814.4</v>
      </c>
      <c r="J78" s="118" t="s">
        <v>184</v>
      </c>
      <c r="K78" s="118" t="s">
        <v>185</v>
      </c>
      <c r="L78" s="118" t="s">
        <v>184</v>
      </c>
      <c r="M78" s="118" t="s">
        <v>184</v>
      </c>
      <c r="N78" s="102">
        <f>'4P 3PH rating '!N78*1.05</f>
        <v>2541</v>
      </c>
      <c r="O78" s="102">
        <f>'4P 3PH rating '!O78*1.05</f>
        <v>2032.8000000000002</v>
      </c>
      <c r="P78" s="102">
        <f>'4P 3PH rating '!P78*1.05</f>
        <v>2661.75</v>
      </c>
      <c r="Q78" s="102">
        <f>'4P 3PH rating '!Q78*1.05</f>
        <v>2129.4</v>
      </c>
      <c r="R78" s="102">
        <f>'4P 3PH rating '!R78*1.05</f>
        <v>2756.25</v>
      </c>
      <c r="S78" s="102">
        <f>'4P 3PH rating '!S78*1.05</f>
        <v>2205</v>
      </c>
      <c r="T78" s="102">
        <f>'4P 3PH rating '!T78*1.05</f>
        <v>2887.5</v>
      </c>
      <c r="U78" s="102">
        <f>'4P 3PH rating '!U78*1.05</f>
        <v>2310</v>
      </c>
    </row>
    <row r="79" spans="1:21" ht="15.75" customHeight="1" x14ac:dyDescent="0.15">
      <c r="A79" s="32" t="s">
        <v>123</v>
      </c>
      <c r="B79" s="89">
        <f>'4P 3PH rating '!B79*1.05</f>
        <v>2383.5</v>
      </c>
      <c r="C79" s="89">
        <f>'4P 3PH rating '!C79*1.05</f>
        <v>1906.8000000000002</v>
      </c>
      <c r="D79" s="89">
        <f>'4P 3PH rating '!D79*1.05</f>
        <v>2457</v>
      </c>
      <c r="E79" s="89">
        <f>'4P 3PH rating '!E79*1.05</f>
        <v>1965.6000000000001</v>
      </c>
      <c r="F79" s="89">
        <f>'4P 3PH rating '!F79*1.05</f>
        <v>2457</v>
      </c>
      <c r="G79" s="89">
        <f>'4P 3PH rating '!G79*1.05</f>
        <v>1965.6000000000001</v>
      </c>
      <c r="H79" s="89">
        <f>'4P 3PH rating '!H79*1.05</f>
        <v>2415</v>
      </c>
      <c r="I79" s="89">
        <f>'4P 3PH rating '!I79*1.05</f>
        <v>1932</v>
      </c>
      <c r="J79" s="118" t="s">
        <v>184</v>
      </c>
      <c r="K79" s="118" t="s">
        <v>184</v>
      </c>
      <c r="L79" s="118" t="s">
        <v>184</v>
      </c>
      <c r="M79" s="118" t="s">
        <v>184</v>
      </c>
      <c r="N79" s="102">
        <f>'4P 3PH rating '!N79*1.05</f>
        <v>2651.25</v>
      </c>
      <c r="O79" s="102">
        <f>'4P 3PH rating '!O79*1.05</f>
        <v>2121</v>
      </c>
      <c r="P79" s="102">
        <f>'4P 3PH rating '!P79*1.05</f>
        <v>2772</v>
      </c>
      <c r="Q79" s="102">
        <f>'4P 3PH rating '!Q79*1.05</f>
        <v>2217.6</v>
      </c>
      <c r="R79" s="102">
        <f>'4P 3PH rating '!R79*1.05</f>
        <v>2861.25</v>
      </c>
      <c r="S79" s="102">
        <f>'4P 3PH rating '!S79*1.05</f>
        <v>2289</v>
      </c>
      <c r="T79" s="102">
        <f>'4P 3PH rating '!T79*1.05</f>
        <v>2971.5</v>
      </c>
      <c r="U79" s="102">
        <f>'4P 3PH rating '!U79*1.05</f>
        <v>2377.2000000000003</v>
      </c>
    </row>
    <row r="80" spans="1:21" ht="19.5" customHeight="1" x14ac:dyDescent="0.15">
      <c r="A80" s="69"/>
      <c r="B80" s="70"/>
      <c r="C80" s="71"/>
      <c r="D80" s="70"/>
      <c r="E80" s="71"/>
      <c r="F80" s="70"/>
      <c r="G80" s="71"/>
      <c r="H80" s="71"/>
      <c r="I80" s="71"/>
      <c r="J80" s="71"/>
      <c r="K80" s="71"/>
      <c r="L80" s="71"/>
      <c r="M80" s="71"/>
      <c r="N80" s="72"/>
      <c r="O80" s="72"/>
      <c r="P80" s="72"/>
      <c r="Q80" s="72"/>
      <c r="R80" s="72"/>
      <c r="S80" s="72"/>
      <c r="T80" s="72"/>
      <c r="U80" s="72"/>
    </row>
    <row r="81" spans="1:2" ht="19.5" customHeight="1" x14ac:dyDescent="0.15">
      <c r="B81" s="70"/>
    </row>
    <row r="82" spans="1:2" x14ac:dyDescent="0.15">
      <c r="A82" s="57" t="s">
        <v>56</v>
      </c>
    </row>
    <row r="83" spans="1:2" x14ac:dyDescent="0.15">
      <c r="A83" s="16" t="s">
        <v>75</v>
      </c>
    </row>
    <row r="84" spans="1:2" x14ac:dyDescent="0.15">
      <c r="A84" s="57" t="s">
        <v>108</v>
      </c>
    </row>
    <row r="85" spans="1:2" x14ac:dyDescent="0.15">
      <c r="A85" s="57" t="s">
        <v>187</v>
      </c>
    </row>
    <row r="86" spans="1:2" x14ac:dyDescent="0.15">
      <c r="A86" s="57" t="s">
        <v>124</v>
      </c>
    </row>
  </sheetData>
  <mergeCells count="142">
    <mergeCell ref="A1:U1"/>
    <mergeCell ref="B2:I2"/>
    <mergeCell ref="J2:U2"/>
    <mergeCell ref="B3:C3"/>
    <mergeCell ref="D3:E3"/>
    <mergeCell ref="F3:G3"/>
    <mergeCell ref="T3:U3"/>
    <mergeCell ref="P6:Q6"/>
    <mergeCell ref="R6:S6"/>
    <mergeCell ref="P3:Q3"/>
    <mergeCell ref="R3:S3"/>
    <mergeCell ref="L3:M3"/>
    <mergeCell ref="N3:O3"/>
    <mergeCell ref="N5:O5"/>
    <mergeCell ref="P5:Q5"/>
    <mergeCell ref="B5:C5"/>
    <mergeCell ref="D5:E5"/>
    <mergeCell ref="F5:G5"/>
    <mergeCell ref="H5:I5"/>
    <mergeCell ref="J5:K5"/>
    <mergeCell ref="H3:I3"/>
    <mergeCell ref="J3:K3"/>
    <mergeCell ref="P7:Q7"/>
    <mergeCell ref="R7:S7"/>
    <mergeCell ref="R5:S5"/>
    <mergeCell ref="T5:U5"/>
    <mergeCell ref="B6:C6"/>
    <mergeCell ref="D6:E6"/>
    <mergeCell ref="F6:G6"/>
    <mergeCell ref="H6:I6"/>
    <mergeCell ref="J6:K6"/>
    <mergeCell ref="N6:O6"/>
    <mergeCell ref="P8:Q8"/>
    <mergeCell ref="R8:S8"/>
    <mergeCell ref="T6:U6"/>
    <mergeCell ref="B7:C7"/>
    <mergeCell ref="D7:E7"/>
    <mergeCell ref="F7:G7"/>
    <mergeCell ref="H7:I7"/>
    <mergeCell ref="J7:K7"/>
    <mergeCell ref="L7:M7"/>
    <mergeCell ref="N7:O7"/>
    <mergeCell ref="P9:Q9"/>
    <mergeCell ref="R9:S9"/>
    <mergeCell ref="T7:U7"/>
    <mergeCell ref="B8:C8"/>
    <mergeCell ref="D8:E8"/>
    <mergeCell ref="F8:G8"/>
    <mergeCell ref="H8:I8"/>
    <mergeCell ref="J8:K8"/>
    <mergeCell ref="L8:M8"/>
    <mergeCell ref="N8:O8"/>
    <mergeCell ref="R10:S10"/>
    <mergeCell ref="T10:U10"/>
    <mergeCell ref="T8:U8"/>
    <mergeCell ref="B9:C9"/>
    <mergeCell ref="D9:E9"/>
    <mergeCell ref="F9:G9"/>
    <mergeCell ref="H9:I9"/>
    <mergeCell ref="J9:K9"/>
    <mergeCell ref="L9:M9"/>
    <mergeCell ref="N9:O9"/>
    <mergeCell ref="J11:K11"/>
    <mergeCell ref="L11:M11"/>
    <mergeCell ref="T9:U9"/>
    <mergeCell ref="B10:C10"/>
    <mergeCell ref="D10:E10"/>
    <mergeCell ref="F10:G10"/>
    <mergeCell ref="H10:I10"/>
    <mergeCell ref="L10:M10"/>
    <mergeCell ref="N10:O10"/>
    <mergeCell ref="P10:Q10"/>
    <mergeCell ref="N11:O11"/>
    <mergeCell ref="P11:Q11"/>
    <mergeCell ref="R11:S11"/>
    <mergeCell ref="T11:U11"/>
    <mergeCell ref="B56:I56"/>
    <mergeCell ref="J56:U56"/>
    <mergeCell ref="B11:C11"/>
    <mergeCell ref="D11:E11"/>
    <mergeCell ref="F11:G11"/>
    <mergeCell ref="H11:I11"/>
    <mergeCell ref="B57:C57"/>
    <mergeCell ref="D57:E57"/>
    <mergeCell ref="F57:G57"/>
    <mergeCell ref="H57:I57"/>
    <mergeCell ref="J57:K57"/>
    <mergeCell ref="P57:Q57"/>
    <mergeCell ref="R57:S57"/>
    <mergeCell ref="T57:U57"/>
    <mergeCell ref="B59:C59"/>
    <mergeCell ref="D59:E59"/>
    <mergeCell ref="F59:G59"/>
    <mergeCell ref="H59:I59"/>
    <mergeCell ref="J59:K59"/>
    <mergeCell ref="P59:Q59"/>
    <mergeCell ref="R59:S59"/>
    <mergeCell ref="T59:U59"/>
    <mergeCell ref="B60:C60"/>
    <mergeCell ref="D60:E60"/>
    <mergeCell ref="F60:G60"/>
    <mergeCell ref="H60:I60"/>
    <mergeCell ref="J60:K60"/>
    <mergeCell ref="P60:Q60"/>
    <mergeCell ref="R60:S60"/>
    <mergeCell ref="T60:U60"/>
    <mergeCell ref="B61:C61"/>
    <mergeCell ref="D61:E61"/>
    <mergeCell ref="F61:G61"/>
    <mergeCell ref="H61:I61"/>
    <mergeCell ref="J61:K61"/>
    <mergeCell ref="L61:M61"/>
    <mergeCell ref="P61:Q61"/>
    <mergeCell ref="R61:S61"/>
    <mergeCell ref="T61:U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B63:C63"/>
    <mergeCell ref="D63:E63"/>
    <mergeCell ref="F63:G63"/>
    <mergeCell ref="H63:I63"/>
    <mergeCell ref="J63:K63"/>
    <mergeCell ref="L63:M63"/>
    <mergeCell ref="P63:Q63"/>
    <mergeCell ref="R63:S63"/>
    <mergeCell ref="T63:U63"/>
    <mergeCell ref="R64:S64"/>
    <mergeCell ref="T64:U64"/>
    <mergeCell ref="B64:C64"/>
    <mergeCell ref="D64:E64"/>
    <mergeCell ref="F64:G64"/>
    <mergeCell ref="H64:I64"/>
    <mergeCell ref="J64:K64"/>
    <mergeCell ref="P64:Q64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70" fitToHeight="2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6"/>
  <sheetViews>
    <sheetView zoomScale="90" zoomScaleNormal="90" workbookViewId="0">
      <pane xSplit="1" ySplit="12" topLeftCell="B64" activePane="bottomRight" state="frozen"/>
      <selection pane="topRight" activeCell="B1" sqref="B1"/>
      <selection pane="bottomLeft" activeCell="A13" sqref="A13"/>
      <selection pane="bottomRight" activeCell="J72" sqref="J72"/>
    </sheetView>
  </sheetViews>
  <sheetFormatPr defaultColWidth="9" defaultRowHeight="14.25" x14ac:dyDescent="0.15"/>
  <cols>
    <col min="1" max="1" width="22.875" customWidth="1"/>
    <col min="2" max="2" width="8.5" customWidth="1"/>
    <col min="3" max="8" width="7" customWidth="1"/>
    <col min="9" max="11" width="7.125" customWidth="1"/>
    <col min="12" max="14" width="8.5" customWidth="1"/>
    <col min="15" max="21" width="7.875" customWidth="1"/>
  </cols>
  <sheetData>
    <row r="1" spans="1:21" ht="24.75" customHeight="1" x14ac:dyDescent="0.15">
      <c r="A1" s="132" t="s">
        <v>86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4"/>
    </row>
    <row r="2" spans="1:21" ht="14.1" customHeight="1" x14ac:dyDescent="0.15">
      <c r="A2" s="24" t="s">
        <v>68</v>
      </c>
      <c r="B2" s="139" t="s">
        <v>66</v>
      </c>
      <c r="C2" s="140"/>
      <c r="D2" s="140"/>
      <c r="E2" s="140"/>
      <c r="F2" s="140"/>
      <c r="G2" s="140"/>
      <c r="H2" s="140"/>
      <c r="I2" s="141"/>
      <c r="J2" s="135" t="s">
        <v>67</v>
      </c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6"/>
    </row>
    <row r="3" spans="1:21" ht="14.1" customHeight="1" x14ac:dyDescent="0.15">
      <c r="A3" s="24" t="s">
        <v>58</v>
      </c>
      <c r="B3" s="128">
        <v>0.8</v>
      </c>
      <c r="C3" s="129"/>
      <c r="D3" s="128">
        <v>0.8</v>
      </c>
      <c r="E3" s="129"/>
      <c r="F3" s="128">
        <v>0.8</v>
      </c>
      <c r="G3" s="129"/>
      <c r="H3" s="128">
        <v>0.8</v>
      </c>
      <c r="I3" s="129"/>
      <c r="J3" s="130">
        <v>0.8</v>
      </c>
      <c r="K3" s="131"/>
      <c r="L3" s="130">
        <v>0.8</v>
      </c>
      <c r="M3" s="131"/>
      <c r="N3" s="130">
        <v>0.8</v>
      </c>
      <c r="O3" s="131"/>
      <c r="P3" s="130">
        <v>0.8</v>
      </c>
      <c r="Q3" s="131"/>
      <c r="R3" s="130">
        <v>0.8</v>
      </c>
      <c r="S3" s="131"/>
      <c r="T3" s="130">
        <v>0.8</v>
      </c>
      <c r="U3" s="131"/>
    </row>
    <row r="4" spans="1:21" ht="14.1" customHeight="1" x14ac:dyDescent="0.15">
      <c r="A4" s="24" t="s">
        <v>59</v>
      </c>
      <c r="B4" s="17"/>
      <c r="C4" s="18"/>
      <c r="D4" s="17"/>
      <c r="E4" s="18"/>
      <c r="F4" s="17"/>
      <c r="G4" s="18"/>
      <c r="H4" s="53"/>
      <c r="I4" s="53"/>
      <c r="J4" s="20"/>
      <c r="K4" s="21"/>
      <c r="L4" s="20"/>
      <c r="M4" s="21"/>
      <c r="N4" s="20"/>
      <c r="O4" s="21"/>
      <c r="P4" s="20"/>
      <c r="Q4" s="21"/>
      <c r="R4" s="20"/>
      <c r="S4" s="21"/>
      <c r="T4" s="20"/>
      <c r="U4" s="21"/>
    </row>
    <row r="5" spans="1:21" ht="14.1" customHeight="1" x14ac:dyDescent="0.15">
      <c r="A5" s="24" t="s">
        <v>104</v>
      </c>
      <c r="B5" s="128">
        <v>380</v>
      </c>
      <c r="C5" s="129"/>
      <c r="D5" s="137">
        <v>400</v>
      </c>
      <c r="E5" s="137"/>
      <c r="F5" s="128">
        <v>415</v>
      </c>
      <c r="G5" s="129"/>
      <c r="H5" s="128">
        <v>440</v>
      </c>
      <c r="I5" s="129"/>
      <c r="J5" s="130" t="s">
        <v>48</v>
      </c>
      <c r="K5" s="131"/>
      <c r="L5" s="20"/>
      <c r="M5" s="21"/>
      <c r="N5" s="126">
        <v>416</v>
      </c>
      <c r="O5" s="127"/>
      <c r="P5" s="130">
        <v>440</v>
      </c>
      <c r="Q5" s="131"/>
      <c r="R5" s="130">
        <v>460</v>
      </c>
      <c r="S5" s="131"/>
      <c r="T5" s="130">
        <v>480</v>
      </c>
      <c r="U5" s="131"/>
    </row>
    <row r="6" spans="1:21" ht="14.1" customHeight="1" x14ac:dyDescent="0.15">
      <c r="A6" s="24" t="s">
        <v>105</v>
      </c>
      <c r="B6" s="128">
        <v>220</v>
      </c>
      <c r="C6" s="129"/>
      <c r="D6" s="128">
        <v>230</v>
      </c>
      <c r="E6" s="129"/>
      <c r="F6" s="128">
        <v>240</v>
      </c>
      <c r="G6" s="129"/>
      <c r="H6" s="128">
        <v>254</v>
      </c>
      <c r="I6" s="129"/>
      <c r="J6" s="130" t="s">
        <v>50</v>
      </c>
      <c r="K6" s="131"/>
      <c r="L6" s="20"/>
      <c r="M6" s="21"/>
      <c r="N6" s="126">
        <v>240</v>
      </c>
      <c r="O6" s="127"/>
      <c r="P6" s="126">
        <v>254</v>
      </c>
      <c r="Q6" s="127"/>
      <c r="R6" s="126">
        <v>266</v>
      </c>
      <c r="S6" s="127"/>
      <c r="T6" s="126">
        <v>277</v>
      </c>
      <c r="U6" s="127"/>
    </row>
    <row r="7" spans="1:21" ht="14.1" customHeight="1" x14ac:dyDescent="0.15">
      <c r="A7" s="24" t="s">
        <v>106</v>
      </c>
      <c r="B7" s="128">
        <v>380</v>
      </c>
      <c r="C7" s="129"/>
      <c r="D7" s="137">
        <v>400</v>
      </c>
      <c r="E7" s="137"/>
      <c r="F7" s="128">
        <v>415</v>
      </c>
      <c r="G7" s="129"/>
      <c r="H7" s="128">
        <v>440</v>
      </c>
      <c r="I7" s="129"/>
      <c r="J7" s="135" t="s">
        <v>53</v>
      </c>
      <c r="K7" s="136"/>
      <c r="L7" s="130" t="s">
        <v>48</v>
      </c>
      <c r="M7" s="131"/>
      <c r="N7" s="126">
        <v>416</v>
      </c>
      <c r="O7" s="127"/>
      <c r="P7" s="130">
        <v>440</v>
      </c>
      <c r="Q7" s="131"/>
      <c r="R7" s="130">
        <v>460</v>
      </c>
      <c r="S7" s="131"/>
      <c r="T7" s="130">
        <v>480</v>
      </c>
      <c r="U7" s="131"/>
    </row>
    <row r="8" spans="1:21" ht="14.1" customHeight="1" x14ac:dyDescent="0.15">
      <c r="A8" s="24" t="s">
        <v>107</v>
      </c>
      <c r="B8" s="128">
        <v>190</v>
      </c>
      <c r="C8" s="129"/>
      <c r="D8" s="128">
        <v>200</v>
      </c>
      <c r="E8" s="129"/>
      <c r="F8" s="128">
        <v>208</v>
      </c>
      <c r="G8" s="129"/>
      <c r="H8" s="128">
        <v>220</v>
      </c>
      <c r="I8" s="129"/>
      <c r="J8" s="130" t="s">
        <v>53</v>
      </c>
      <c r="K8" s="131"/>
      <c r="L8" s="130" t="s">
        <v>49</v>
      </c>
      <c r="M8" s="131"/>
      <c r="N8" s="126">
        <v>208</v>
      </c>
      <c r="O8" s="127"/>
      <c r="P8" s="126">
        <v>220</v>
      </c>
      <c r="Q8" s="127"/>
      <c r="R8" s="126">
        <v>230</v>
      </c>
      <c r="S8" s="127"/>
      <c r="T8" s="126">
        <v>240</v>
      </c>
      <c r="U8" s="127"/>
    </row>
    <row r="9" spans="1:21" ht="14.1" customHeight="1" x14ac:dyDescent="0.15">
      <c r="A9" s="25" t="s">
        <v>62</v>
      </c>
      <c r="B9" s="128">
        <v>220</v>
      </c>
      <c r="C9" s="129"/>
      <c r="D9" s="128">
        <v>230</v>
      </c>
      <c r="E9" s="129"/>
      <c r="F9" s="128">
        <v>240</v>
      </c>
      <c r="G9" s="129"/>
      <c r="H9" s="128">
        <v>254</v>
      </c>
      <c r="I9" s="129"/>
      <c r="J9" s="135" t="s">
        <v>53</v>
      </c>
      <c r="K9" s="136"/>
      <c r="L9" s="130" t="s">
        <v>50</v>
      </c>
      <c r="M9" s="131"/>
      <c r="N9" s="126">
        <v>240</v>
      </c>
      <c r="O9" s="127"/>
      <c r="P9" s="126">
        <v>254</v>
      </c>
      <c r="Q9" s="127"/>
      <c r="R9" s="126">
        <v>266</v>
      </c>
      <c r="S9" s="127"/>
      <c r="T9" s="126">
        <v>277</v>
      </c>
      <c r="U9" s="127"/>
    </row>
    <row r="10" spans="1:21" ht="14.1" customHeight="1" x14ac:dyDescent="0.15">
      <c r="A10" s="68" t="s">
        <v>115</v>
      </c>
      <c r="B10" s="128">
        <f>B9/2</f>
        <v>110</v>
      </c>
      <c r="C10" s="129"/>
      <c r="D10" s="128">
        <f>D9/2</f>
        <v>115</v>
      </c>
      <c r="E10" s="129"/>
      <c r="F10" s="128">
        <f>F9/2</f>
        <v>120</v>
      </c>
      <c r="G10" s="129"/>
      <c r="H10" s="128">
        <f>H9/2</f>
        <v>127</v>
      </c>
      <c r="I10" s="129"/>
      <c r="J10" s="66"/>
      <c r="K10" s="67"/>
      <c r="L10" s="130" t="s">
        <v>116</v>
      </c>
      <c r="M10" s="131"/>
      <c r="N10" s="126">
        <f>N9/2</f>
        <v>120</v>
      </c>
      <c r="O10" s="127"/>
      <c r="P10" s="126">
        <f>P9/2</f>
        <v>127</v>
      </c>
      <c r="Q10" s="127"/>
      <c r="R10" s="126">
        <f>R9/2</f>
        <v>133</v>
      </c>
      <c r="S10" s="127"/>
      <c r="T10" s="126">
        <f>T9/2</f>
        <v>138.5</v>
      </c>
      <c r="U10" s="127"/>
    </row>
    <row r="11" spans="1:21" ht="14.1" customHeight="1" x14ac:dyDescent="0.15">
      <c r="A11" s="25" t="s">
        <v>63</v>
      </c>
      <c r="B11" s="128">
        <v>11</v>
      </c>
      <c r="C11" s="129"/>
      <c r="D11" s="128">
        <v>11</v>
      </c>
      <c r="E11" s="129"/>
      <c r="F11" s="128">
        <v>11</v>
      </c>
      <c r="G11" s="129"/>
      <c r="H11" s="128">
        <v>11</v>
      </c>
      <c r="I11" s="129"/>
      <c r="J11" s="130">
        <v>13</v>
      </c>
      <c r="K11" s="131"/>
      <c r="L11" s="130">
        <v>14</v>
      </c>
      <c r="M11" s="131"/>
      <c r="N11" s="126">
        <v>11</v>
      </c>
      <c r="O11" s="127"/>
      <c r="P11" s="126">
        <v>11</v>
      </c>
      <c r="Q11" s="127"/>
      <c r="R11" s="126">
        <v>11</v>
      </c>
      <c r="S11" s="127"/>
      <c r="T11" s="126">
        <v>11</v>
      </c>
      <c r="U11" s="127"/>
    </row>
    <row r="12" spans="1:21" ht="14.1" customHeight="1" x14ac:dyDescent="0.15">
      <c r="A12" s="36" t="s">
        <v>64</v>
      </c>
      <c r="B12" s="19" t="s">
        <v>0</v>
      </c>
      <c r="C12" s="19" t="s">
        <v>1</v>
      </c>
      <c r="D12" s="19" t="s">
        <v>0</v>
      </c>
      <c r="E12" s="19" t="s">
        <v>1</v>
      </c>
      <c r="F12" s="19" t="s">
        <v>0</v>
      </c>
      <c r="G12" s="19" t="s">
        <v>1</v>
      </c>
      <c r="H12" s="19" t="s">
        <v>0</v>
      </c>
      <c r="I12" s="19" t="s">
        <v>1</v>
      </c>
      <c r="J12" s="22" t="s">
        <v>51</v>
      </c>
      <c r="K12" s="23" t="s">
        <v>52</v>
      </c>
      <c r="L12" s="22" t="s">
        <v>51</v>
      </c>
      <c r="M12" s="23" t="s">
        <v>52</v>
      </c>
      <c r="N12" s="23" t="s">
        <v>0</v>
      </c>
      <c r="O12" s="23" t="s">
        <v>1</v>
      </c>
      <c r="P12" s="23" t="s">
        <v>0</v>
      </c>
      <c r="Q12" s="23" t="s">
        <v>1</v>
      </c>
      <c r="R12" s="23" t="s">
        <v>0</v>
      </c>
      <c r="S12" s="23" t="s">
        <v>1</v>
      </c>
      <c r="T12" s="23" t="s">
        <v>0</v>
      </c>
      <c r="U12" s="23" t="s">
        <v>1</v>
      </c>
    </row>
    <row r="13" spans="1:21" ht="13.5" customHeight="1" x14ac:dyDescent="0.15">
      <c r="A13" s="31" t="s">
        <v>2</v>
      </c>
      <c r="B13" s="40">
        <f>'4P 3PH rating '!B13*1.1</f>
        <v>8.91</v>
      </c>
      <c r="C13" s="40">
        <f>'4P 3PH rating '!C13*1.1</f>
        <v>7.15</v>
      </c>
      <c r="D13" s="40">
        <f>'4P 3PH rating '!D13*1.1</f>
        <v>8.91</v>
      </c>
      <c r="E13" s="40">
        <f>'4P 3PH rating '!E13*1.1</f>
        <v>7.15</v>
      </c>
      <c r="F13" s="40">
        <f>'4P 3PH rating '!F13*1.1</f>
        <v>8.91</v>
      </c>
      <c r="G13" s="40">
        <f>'4P 3PH rating '!G13*1.1</f>
        <v>7.15</v>
      </c>
      <c r="H13" s="40">
        <f>'4P 3PH rating '!H13*1.1</f>
        <v>6.8200000000000012</v>
      </c>
      <c r="I13" s="40">
        <f>'4P 3PH rating '!I13*1.1</f>
        <v>5.4560000000000013</v>
      </c>
      <c r="J13" s="118" t="s">
        <v>184</v>
      </c>
      <c r="K13" s="118" t="s">
        <v>184</v>
      </c>
      <c r="L13" s="101">
        <f>'4P 3PH rating '!L13*1.1</f>
        <v>10.56</v>
      </c>
      <c r="M13" s="101">
        <f>'4P 3PH rating '!M13*1.1</f>
        <v>8.4700000000000006</v>
      </c>
      <c r="N13" s="41">
        <f>'4P 3PH rating '!N13*1.1</f>
        <v>10.56</v>
      </c>
      <c r="O13" s="41">
        <f>'4P 3PH rating '!O13*1.1</f>
        <v>8.4700000000000006</v>
      </c>
      <c r="P13" s="41">
        <f>'4P 3PH rating '!P13*1.1</f>
        <v>11.22</v>
      </c>
      <c r="Q13" s="41">
        <f>'4P 3PH rating '!Q13*1.1</f>
        <v>9.02</v>
      </c>
      <c r="R13" s="41">
        <f>'4P 3PH rating '!R13*1.1</f>
        <v>11.22</v>
      </c>
      <c r="S13" s="41">
        <f>'4P 3PH rating '!S13*1.1</f>
        <v>9.02</v>
      </c>
      <c r="T13" s="41">
        <f>'4P 3PH rating '!T13*1.1</f>
        <v>11.22</v>
      </c>
      <c r="U13" s="41">
        <f>'4P 3PH rating '!U13*1.1</f>
        <v>9.02</v>
      </c>
    </row>
    <row r="14" spans="1:21" ht="13.5" customHeight="1" x14ac:dyDescent="0.15">
      <c r="A14" s="31" t="s">
        <v>3</v>
      </c>
      <c r="B14" s="40">
        <f>'4P 3PH rating '!B14*1.1</f>
        <v>12.100000000000001</v>
      </c>
      <c r="C14" s="40">
        <f>'4P 3PH rating '!C14*1.1</f>
        <v>9.6800000000000015</v>
      </c>
      <c r="D14" s="40">
        <f>'4P 3PH rating '!D14*1.1</f>
        <v>12.100000000000001</v>
      </c>
      <c r="E14" s="40">
        <f>'4P 3PH rating '!E14*1.1</f>
        <v>9.6800000000000015</v>
      </c>
      <c r="F14" s="40">
        <f>'4P 3PH rating '!F14*1.1</f>
        <v>12.100000000000001</v>
      </c>
      <c r="G14" s="40">
        <f>'4P 3PH rating '!G14*1.1</f>
        <v>9.6800000000000015</v>
      </c>
      <c r="H14" s="40">
        <f>'4P 3PH rating '!H14*1.1</f>
        <v>9.240000000000002</v>
      </c>
      <c r="I14" s="40">
        <f>'4P 3PH rating '!I14*1.1</f>
        <v>7.3920000000000012</v>
      </c>
      <c r="J14" s="118" t="s">
        <v>184</v>
      </c>
      <c r="K14" s="118" t="s">
        <v>184</v>
      </c>
      <c r="L14" s="101">
        <f>'4P 3PH rating '!L14*1.1</f>
        <v>14.3</v>
      </c>
      <c r="M14" s="101">
        <f>'4P 3PH rating '!M14*1.1</f>
        <v>11.440000000000001</v>
      </c>
      <c r="N14" s="41">
        <f>'4P 3PH rating '!N14*1.1</f>
        <v>14.3</v>
      </c>
      <c r="O14" s="41">
        <f>'4P 3PH rating '!O14*1.1</f>
        <v>11.440000000000001</v>
      </c>
      <c r="P14" s="41">
        <f>'4P 3PH rating '!P14*1.1</f>
        <v>15.180000000000001</v>
      </c>
      <c r="Q14" s="41">
        <f>'4P 3PH rating '!Q14*1.1</f>
        <v>12.100000000000001</v>
      </c>
      <c r="R14" s="41">
        <f>'4P 3PH rating '!R14*1.1</f>
        <v>15.180000000000001</v>
      </c>
      <c r="S14" s="41">
        <f>'4P 3PH rating '!S14*1.1</f>
        <v>12.100000000000001</v>
      </c>
      <c r="T14" s="41">
        <f>'4P 3PH rating '!T14*1.1</f>
        <v>15.180000000000001</v>
      </c>
      <c r="U14" s="41">
        <f>'4P 3PH rating '!U14*1.1</f>
        <v>12.100000000000001</v>
      </c>
    </row>
    <row r="15" spans="1:21" ht="13.5" customHeight="1" x14ac:dyDescent="0.15">
      <c r="A15" s="31" t="s">
        <v>4</v>
      </c>
      <c r="B15" s="40">
        <f>'4P 3PH rating '!B15*1.1</f>
        <v>14.850000000000001</v>
      </c>
      <c r="C15" s="40">
        <f>'4P 3PH rating '!C15*1.1</f>
        <v>11.880000000000003</v>
      </c>
      <c r="D15" s="40">
        <f>'4P 3PH rating '!D15*1.1</f>
        <v>14.850000000000001</v>
      </c>
      <c r="E15" s="40">
        <f>'4P 3PH rating '!E15*1.1</f>
        <v>11.880000000000003</v>
      </c>
      <c r="F15" s="40">
        <f>'4P 3PH rating '!F15*1.1</f>
        <v>14.850000000000001</v>
      </c>
      <c r="G15" s="40">
        <f>'4P 3PH rating '!G15*1.1</f>
        <v>11.880000000000003</v>
      </c>
      <c r="H15" s="40">
        <f>'4P 3PH rating '!H15*1.1</f>
        <v>12.100000000000001</v>
      </c>
      <c r="I15" s="40">
        <f>'4P 3PH rating '!I15*1.1</f>
        <v>9.6800000000000015</v>
      </c>
      <c r="J15" s="118" t="s">
        <v>184</v>
      </c>
      <c r="K15" s="118" t="s">
        <v>184</v>
      </c>
      <c r="L15" s="101">
        <f>'4P 3PH rating '!L15*1.1</f>
        <v>17.600000000000001</v>
      </c>
      <c r="M15" s="101">
        <f>'4P 3PH rating '!M15*1.1</f>
        <v>14.080000000000002</v>
      </c>
      <c r="N15" s="41">
        <f>'4P 3PH rating '!N15*1.1</f>
        <v>17.600000000000001</v>
      </c>
      <c r="O15" s="41">
        <f>'4P 3PH rating '!O15*1.1</f>
        <v>14.080000000000002</v>
      </c>
      <c r="P15" s="41">
        <f>'4P 3PH rating '!P15*1.1</f>
        <v>18.59</v>
      </c>
      <c r="Q15" s="41">
        <f>'4P 3PH rating '!Q15*1.1</f>
        <v>14.850000000000001</v>
      </c>
      <c r="R15" s="41">
        <f>'4P 3PH rating '!R15*1.1</f>
        <v>18.59</v>
      </c>
      <c r="S15" s="41">
        <f>'4P 3PH rating '!S15*1.1</f>
        <v>14.850000000000001</v>
      </c>
      <c r="T15" s="41">
        <f>'4P 3PH rating '!T15*1.1</f>
        <v>18.59</v>
      </c>
      <c r="U15" s="41">
        <f>'4P 3PH rating '!U15*1.1</f>
        <v>14.850000000000001</v>
      </c>
    </row>
    <row r="16" spans="1:21" ht="13.5" customHeight="1" x14ac:dyDescent="0.15">
      <c r="A16" s="31" t="s">
        <v>5</v>
      </c>
      <c r="B16" s="40">
        <f>'4P 3PH rating '!B16*1.1</f>
        <v>17.600000000000001</v>
      </c>
      <c r="C16" s="40">
        <f>'4P 3PH rating '!C16*1.1</f>
        <v>14.080000000000002</v>
      </c>
      <c r="D16" s="40">
        <f>'4P 3PH rating '!D16*1.1</f>
        <v>17.600000000000001</v>
      </c>
      <c r="E16" s="40">
        <f>'4P 3PH rating '!E16*1.1</f>
        <v>14.080000000000002</v>
      </c>
      <c r="F16" s="40">
        <f>'4P 3PH rating '!F16*1.1</f>
        <v>17.600000000000001</v>
      </c>
      <c r="G16" s="40">
        <f>'4P 3PH rating '!G16*1.1</f>
        <v>14.080000000000002</v>
      </c>
      <c r="H16" s="40">
        <f>'4P 3PH rating '!H16*1.1</f>
        <v>14.850000000000001</v>
      </c>
      <c r="I16" s="40">
        <f>'4P 3PH rating '!I16*1.1</f>
        <v>11.880000000000003</v>
      </c>
      <c r="J16" s="118" t="s">
        <v>184</v>
      </c>
      <c r="K16" s="118" t="s">
        <v>184</v>
      </c>
      <c r="L16" s="101">
        <f>'4P 3PH rating '!L16*1.1</f>
        <v>22</v>
      </c>
      <c r="M16" s="101">
        <f>'4P 3PH rating '!M16*1.1</f>
        <v>17.600000000000001</v>
      </c>
      <c r="N16" s="41">
        <f>'4P 3PH rating '!N16*1.1</f>
        <v>20.79</v>
      </c>
      <c r="O16" s="41">
        <f>'4P 3PH rating '!O16*1.1</f>
        <v>16.61</v>
      </c>
      <c r="P16" s="41">
        <f>'4P 3PH rating '!P16*1.1</f>
        <v>22</v>
      </c>
      <c r="Q16" s="41">
        <f>'4P 3PH rating '!Q16*1.1</f>
        <v>17.600000000000001</v>
      </c>
      <c r="R16" s="41">
        <f>'4P 3PH rating '!R16*1.1</f>
        <v>22</v>
      </c>
      <c r="S16" s="41">
        <f>'4P 3PH rating '!S16*1.1</f>
        <v>17.600000000000001</v>
      </c>
      <c r="T16" s="41">
        <f>'4P 3PH rating '!T16*1.1</f>
        <v>22</v>
      </c>
      <c r="U16" s="41">
        <f>'4P 3PH rating '!U16*1.1</f>
        <v>17.600000000000001</v>
      </c>
    </row>
    <row r="17" spans="1:21" ht="13.5" customHeight="1" x14ac:dyDescent="0.15">
      <c r="A17" s="31"/>
      <c r="B17" s="40"/>
      <c r="C17" s="40"/>
      <c r="D17" s="40"/>
      <c r="E17" s="40"/>
      <c r="F17" s="40"/>
      <c r="G17" s="40"/>
      <c r="H17" s="40"/>
      <c r="I17" s="40"/>
      <c r="J17" s="118"/>
      <c r="K17" s="118"/>
      <c r="L17" s="101"/>
      <c r="M17" s="101"/>
      <c r="N17" s="41"/>
      <c r="O17" s="41"/>
      <c r="P17" s="41"/>
      <c r="Q17" s="41"/>
      <c r="R17" s="41"/>
      <c r="S17" s="41"/>
      <c r="T17" s="41"/>
      <c r="U17" s="41"/>
    </row>
    <row r="18" spans="1:21" ht="13.5" customHeight="1" x14ac:dyDescent="0.15">
      <c r="A18" s="31" t="s">
        <v>6</v>
      </c>
      <c r="B18" s="40">
        <f>'4P 3PH rating '!B18*1.1</f>
        <v>22</v>
      </c>
      <c r="C18" s="40">
        <f>'4P 3PH rating '!C18*1.1</f>
        <v>17.600000000000001</v>
      </c>
      <c r="D18" s="40">
        <f>'4P 3PH rating '!D18*1.1</f>
        <v>22</v>
      </c>
      <c r="E18" s="40">
        <f>'4P 3PH rating '!E18*1.1</f>
        <v>17.600000000000001</v>
      </c>
      <c r="F18" s="40">
        <f>'4P 3PH rating '!F18*1.1</f>
        <v>22</v>
      </c>
      <c r="G18" s="40">
        <f>'4P 3PH rating '!G18*1.1</f>
        <v>17.600000000000001</v>
      </c>
      <c r="H18" s="40">
        <f>'4P 3PH rating '!H18*1.1</f>
        <v>16.5</v>
      </c>
      <c r="I18" s="40">
        <f>'4P 3PH rating '!I18*1.1</f>
        <v>13.200000000000001</v>
      </c>
      <c r="J18" s="118" t="s">
        <v>184</v>
      </c>
      <c r="K18" s="118" t="s">
        <v>184</v>
      </c>
      <c r="L18" s="101">
        <f>'4P 3PH rating '!L18*1.1</f>
        <v>27.500000000000004</v>
      </c>
      <c r="M18" s="101">
        <f>'4P 3PH rating '!M18*1.1</f>
        <v>22</v>
      </c>
      <c r="N18" s="41">
        <f>'4P 3PH rating '!N18*1.1</f>
        <v>26.400000000000002</v>
      </c>
      <c r="O18" s="41">
        <f>'4P 3PH rating '!O18*1.1</f>
        <v>21.120000000000005</v>
      </c>
      <c r="P18" s="41">
        <f>'4P 3PH rating '!P18*1.1</f>
        <v>27.500000000000004</v>
      </c>
      <c r="Q18" s="41">
        <f>'4P 3PH rating '!Q18*1.1</f>
        <v>22</v>
      </c>
      <c r="R18" s="41">
        <f>'4P 3PH rating '!R18*1.1</f>
        <v>27.500000000000004</v>
      </c>
      <c r="S18" s="41">
        <f>'4P 3PH rating '!S18*1.1</f>
        <v>22</v>
      </c>
      <c r="T18" s="41">
        <f>'4P 3PH rating '!T18*1.1</f>
        <v>27.500000000000004</v>
      </c>
      <c r="U18" s="41">
        <f>'4P 3PH rating '!U18*1.1</f>
        <v>22</v>
      </c>
    </row>
    <row r="19" spans="1:21" ht="13.5" customHeight="1" x14ac:dyDescent="0.15">
      <c r="A19" s="31" t="s">
        <v>7</v>
      </c>
      <c r="B19" s="40">
        <f>'4P 3PH rating '!B19*1.1</f>
        <v>24.750000000000004</v>
      </c>
      <c r="C19" s="40">
        <f>'4P 3PH rating '!C19*1.1</f>
        <v>19.8</v>
      </c>
      <c r="D19" s="40">
        <f>'4P 3PH rating '!D19*1.1</f>
        <v>24.750000000000004</v>
      </c>
      <c r="E19" s="40">
        <f>'4P 3PH rating '!E19*1.1</f>
        <v>19.8</v>
      </c>
      <c r="F19" s="40">
        <f>'4P 3PH rating '!F19*1.1</f>
        <v>24.750000000000004</v>
      </c>
      <c r="G19" s="40">
        <f>'4P 3PH rating '!G19*1.1</f>
        <v>19.8</v>
      </c>
      <c r="H19" s="40">
        <f>'4P 3PH rating '!H19*1.1</f>
        <v>19.25</v>
      </c>
      <c r="I19" s="40">
        <f>'4P 3PH rating '!I19*1.1</f>
        <v>15.400000000000002</v>
      </c>
      <c r="J19" s="118" t="s">
        <v>184</v>
      </c>
      <c r="K19" s="118" t="s">
        <v>184</v>
      </c>
      <c r="L19" s="101">
        <f>'4P 3PH rating '!L19*1.1</f>
        <v>30.250000000000004</v>
      </c>
      <c r="M19" s="101">
        <f>'4P 3PH rating '!M19*1.1</f>
        <v>24.200000000000003</v>
      </c>
      <c r="N19" s="41">
        <f>'4P 3PH rating '!N19*1.1</f>
        <v>30.250000000000004</v>
      </c>
      <c r="O19" s="41">
        <f>'4P 3PH rating '!O19*1.1</f>
        <v>24.200000000000003</v>
      </c>
      <c r="P19" s="41">
        <f>'4P 3PH rating '!P19*1.1</f>
        <v>31.680000000000003</v>
      </c>
      <c r="Q19" s="41">
        <f>'4P 3PH rating '!Q19*1.1</f>
        <v>25.3</v>
      </c>
      <c r="R19" s="41">
        <f>'4P 3PH rating '!R19*1.1</f>
        <v>31.680000000000003</v>
      </c>
      <c r="S19" s="41">
        <f>'4P 3PH rating '!S19*1.1</f>
        <v>25.3</v>
      </c>
      <c r="T19" s="41">
        <f>'4P 3PH rating '!T19*1.1</f>
        <v>33</v>
      </c>
      <c r="U19" s="41">
        <f>'4P 3PH rating '!U19*1.1</f>
        <v>26.400000000000002</v>
      </c>
    </row>
    <row r="20" spans="1:21" ht="13.5" customHeight="1" x14ac:dyDescent="0.15">
      <c r="A20" s="31" t="s">
        <v>8</v>
      </c>
      <c r="B20" s="40">
        <f>'4P 3PH rating '!B20*1.1</f>
        <v>30.250000000000004</v>
      </c>
      <c r="C20" s="40">
        <f>'4P 3PH rating '!C20*1.1</f>
        <v>24.200000000000003</v>
      </c>
      <c r="D20" s="40">
        <f>'4P 3PH rating '!D20*1.1</f>
        <v>30.250000000000004</v>
      </c>
      <c r="E20" s="40">
        <f>'4P 3PH rating '!E20*1.1</f>
        <v>24.200000000000003</v>
      </c>
      <c r="F20" s="40">
        <f>'4P 3PH rating '!F20*1.1</f>
        <v>30.250000000000004</v>
      </c>
      <c r="G20" s="40">
        <f>'4P 3PH rating '!G20*1.1</f>
        <v>24.200000000000003</v>
      </c>
      <c r="H20" s="40">
        <f>'4P 3PH rating '!H20*1.1</f>
        <v>24.200000000000003</v>
      </c>
      <c r="I20" s="40">
        <f>'4P 3PH rating '!I20*1.1</f>
        <v>19.360000000000003</v>
      </c>
      <c r="J20" s="118" t="s">
        <v>184</v>
      </c>
      <c r="K20" s="118" t="s">
        <v>184</v>
      </c>
      <c r="L20" s="101">
        <f>'4P 3PH rating '!L20*1.1</f>
        <v>35.75</v>
      </c>
      <c r="M20" s="101">
        <f>'4P 3PH rating '!M20*1.1</f>
        <v>28.6</v>
      </c>
      <c r="N20" s="41">
        <f>'4P 3PH rating '!N20*1.1</f>
        <v>35.75</v>
      </c>
      <c r="O20" s="41">
        <f>'4P 3PH rating '!O20*1.1</f>
        <v>28.6</v>
      </c>
      <c r="P20" s="41">
        <f>'4P 3PH rating '!P20*1.1</f>
        <v>37.840000000000003</v>
      </c>
      <c r="Q20" s="41">
        <f>'4P 3PH rating '!Q20*1.1</f>
        <v>30.250000000000004</v>
      </c>
      <c r="R20" s="41">
        <f>'4P 3PH rating '!R20*1.1</f>
        <v>37.840000000000003</v>
      </c>
      <c r="S20" s="41">
        <f>'4P 3PH rating '!S20*1.1</f>
        <v>30.250000000000004</v>
      </c>
      <c r="T20" s="41">
        <f>'4P 3PH rating '!T20*1.1</f>
        <v>38.5</v>
      </c>
      <c r="U20" s="41">
        <f>'4P 3PH rating '!U20*1.1</f>
        <v>30.800000000000004</v>
      </c>
    </row>
    <row r="21" spans="1:21" ht="13.5" customHeight="1" x14ac:dyDescent="0.15">
      <c r="A21" s="31" t="s">
        <v>9</v>
      </c>
      <c r="B21" s="40">
        <f>'4P 3PH rating '!B21*1.1</f>
        <v>34.430000000000007</v>
      </c>
      <c r="C21" s="40">
        <f>'4P 3PH rating '!C21*1.1</f>
        <v>27.500000000000004</v>
      </c>
      <c r="D21" s="40">
        <f>'4P 3PH rating '!D21*1.1</f>
        <v>34.430000000000007</v>
      </c>
      <c r="E21" s="40">
        <f>'4P 3PH rating '!E21*1.1</f>
        <v>27.500000000000004</v>
      </c>
      <c r="F21" s="40">
        <f>'4P 3PH rating '!F21*1.1</f>
        <v>34.430000000000007</v>
      </c>
      <c r="G21" s="40">
        <f>'4P 3PH rating '!G21*1.1</f>
        <v>27.500000000000004</v>
      </c>
      <c r="H21" s="40">
        <f>'4P 3PH rating '!H21*1.1</f>
        <v>27.500000000000004</v>
      </c>
      <c r="I21" s="40">
        <f>'4P 3PH rating '!I21*1.1</f>
        <v>22</v>
      </c>
      <c r="J21" s="118" t="s">
        <v>184</v>
      </c>
      <c r="K21" s="118" t="s">
        <v>184</v>
      </c>
      <c r="L21" s="101">
        <f>'4P 3PH rating '!L21*1.1</f>
        <v>41.25</v>
      </c>
      <c r="M21" s="101">
        <f>'4P 3PH rating '!M21*1.1</f>
        <v>33</v>
      </c>
      <c r="N21" s="41">
        <f>'4P 3PH rating '!N21*1.1</f>
        <v>38.5</v>
      </c>
      <c r="O21" s="41">
        <f>'4P 3PH rating '!O21*1.1</f>
        <v>30.800000000000004</v>
      </c>
      <c r="P21" s="41">
        <f>'4P 3PH rating '!P21*1.1</f>
        <v>41.25</v>
      </c>
      <c r="Q21" s="41">
        <f>'4P 3PH rating '!Q21*1.1</f>
        <v>33</v>
      </c>
      <c r="R21" s="41">
        <f>'4P 3PH rating '!R21*1.1</f>
        <v>41.25</v>
      </c>
      <c r="S21" s="41">
        <f>'4P 3PH rating '!S21*1.1</f>
        <v>33</v>
      </c>
      <c r="T21" s="41">
        <f>'4P 3PH rating '!T21*1.1</f>
        <v>41.25</v>
      </c>
      <c r="U21" s="41">
        <f>'4P 3PH rating '!U21*1.1</f>
        <v>33</v>
      </c>
    </row>
    <row r="22" spans="1:21" ht="13.5" customHeight="1" x14ac:dyDescent="0.15">
      <c r="A22" s="31" t="s">
        <v>10</v>
      </c>
      <c r="B22" s="40">
        <f>'4P 3PH rating '!B22*1.1</f>
        <v>41.25</v>
      </c>
      <c r="C22" s="40">
        <f>'4P 3PH rating '!C22*1.1</f>
        <v>33</v>
      </c>
      <c r="D22" s="40">
        <f>'4P 3PH rating '!D22*1.1</f>
        <v>41.25</v>
      </c>
      <c r="E22" s="40">
        <f>'4P 3PH rating '!E22*1.1</f>
        <v>33</v>
      </c>
      <c r="F22" s="40">
        <f>'4P 3PH rating '!F22*1.1</f>
        <v>41.25</v>
      </c>
      <c r="G22" s="40">
        <f>'4P 3PH rating '!G22*1.1</f>
        <v>33</v>
      </c>
      <c r="H22" s="40">
        <f>'4P 3PH rating '!H22*1.1</f>
        <v>33</v>
      </c>
      <c r="I22" s="40">
        <f>'4P 3PH rating '!I22*1.1</f>
        <v>26.400000000000002</v>
      </c>
      <c r="J22" s="118" t="s">
        <v>184</v>
      </c>
      <c r="K22" s="118" t="s">
        <v>184</v>
      </c>
      <c r="L22" s="101">
        <f>'4P 3PH rating '!L22*1.1</f>
        <v>47.85</v>
      </c>
      <c r="M22" s="101">
        <f>'4P 3PH rating '!M22*1.1</f>
        <v>38.28</v>
      </c>
      <c r="N22" s="41">
        <f>'4P 3PH rating '!N22*1.1</f>
        <v>48.730000000000004</v>
      </c>
      <c r="O22" s="41">
        <f>'4P 3PH rating '!O22*1.1</f>
        <v>38.940000000000005</v>
      </c>
      <c r="P22" s="41">
        <f>'4P 3PH rating '!P22*1.1</f>
        <v>51.59</v>
      </c>
      <c r="Q22" s="41">
        <f>'4P 3PH rating '!Q22*1.1</f>
        <v>41.25</v>
      </c>
      <c r="R22" s="41">
        <f>'4P 3PH rating '!R22*1.1</f>
        <v>51.59</v>
      </c>
      <c r="S22" s="41">
        <f>'4P 3PH rating '!S22*1.1</f>
        <v>41.25</v>
      </c>
      <c r="T22" s="41">
        <f>'4P 3PH rating '!T22*1.1</f>
        <v>51.59</v>
      </c>
      <c r="U22" s="41">
        <f>'4P 3PH rating '!U22*1.1</f>
        <v>41.25</v>
      </c>
    </row>
    <row r="23" spans="1:21" ht="13.5" customHeight="1" x14ac:dyDescent="0.15">
      <c r="A23" s="31" t="s">
        <v>11</v>
      </c>
      <c r="B23" s="40">
        <f>'4P 3PH rating '!B23*1.1</f>
        <v>44</v>
      </c>
      <c r="C23" s="40">
        <f>'4P 3PH rating '!C23*1.1</f>
        <v>35.200000000000003</v>
      </c>
      <c r="D23" s="40">
        <f>'4P 3PH rating '!D23*1.1</f>
        <v>44</v>
      </c>
      <c r="E23" s="40">
        <f>'4P 3PH rating '!E23*1.1</f>
        <v>35.200000000000003</v>
      </c>
      <c r="F23" s="40">
        <f>'4P 3PH rating '!F23*1.1</f>
        <v>44</v>
      </c>
      <c r="G23" s="40">
        <f>'4P 3PH rating '!G23*1.1</f>
        <v>35.200000000000003</v>
      </c>
      <c r="H23" s="40">
        <f>'4P 3PH rating '!H23*1.1</f>
        <v>35.200000000000003</v>
      </c>
      <c r="I23" s="40">
        <f>'4P 3PH rating '!I23*1.1</f>
        <v>28.160000000000004</v>
      </c>
      <c r="J23" s="118" t="s">
        <v>184</v>
      </c>
      <c r="K23" s="118" t="s">
        <v>184</v>
      </c>
      <c r="L23" s="101">
        <f>'4P 3PH rating '!L23*1.1</f>
        <v>52.250000000000007</v>
      </c>
      <c r="M23" s="101">
        <f>'4P 3PH rating '!M23*1.1</f>
        <v>41.800000000000004</v>
      </c>
      <c r="N23" s="41">
        <f>'4P 3PH rating '!N23*1.1</f>
        <v>52.03</v>
      </c>
      <c r="O23" s="41">
        <f>'4P 3PH rating '!O23*1.1</f>
        <v>41.624000000000002</v>
      </c>
      <c r="P23" s="41">
        <f>'4P 3PH rating '!P23*1.1</f>
        <v>55.000000000000007</v>
      </c>
      <c r="Q23" s="41">
        <f>'4P 3PH rating '!Q23*1.1</f>
        <v>44</v>
      </c>
      <c r="R23" s="41">
        <f>'4P 3PH rating '!R23*1.1</f>
        <v>55.000000000000007</v>
      </c>
      <c r="S23" s="41">
        <f>'4P 3PH rating '!S23*1.1</f>
        <v>44</v>
      </c>
      <c r="T23" s="41">
        <f>'4P 3PH rating '!T23*1.1</f>
        <v>55.000000000000007</v>
      </c>
      <c r="U23" s="41">
        <f>'4P 3PH rating '!U23*1.1</f>
        <v>44</v>
      </c>
    </row>
    <row r="24" spans="1:21" ht="13.5" customHeight="1" x14ac:dyDescent="0.15">
      <c r="A24" s="31"/>
      <c r="B24" s="40"/>
      <c r="C24" s="40"/>
      <c r="D24" s="40"/>
      <c r="E24" s="40"/>
      <c r="F24" s="40"/>
      <c r="G24" s="40"/>
      <c r="H24" s="40"/>
      <c r="I24" s="40"/>
      <c r="J24" s="118"/>
      <c r="K24" s="118"/>
      <c r="L24" s="101"/>
      <c r="M24" s="101"/>
      <c r="N24" s="41"/>
      <c r="O24" s="41"/>
      <c r="P24" s="41"/>
      <c r="Q24" s="41"/>
      <c r="R24" s="41"/>
      <c r="S24" s="41"/>
      <c r="T24" s="41"/>
      <c r="U24" s="41"/>
    </row>
    <row r="25" spans="1:21" ht="13.5" customHeight="1" x14ac:dyDescent="0.15">
      <c r="A25" s="31" t="s">
        <v>13</v>
      </c>
      <c r="B25" s="40">
        <f>'4P 3PH rating '!B25*1.1</f>
        <v>46.750000000000007</v>
      </c>
      <c r="C25" s="40">
        <f>'4P 3PH rating '!C25*1.1</f>
        <v>37.400000000000006</v>
      </c>
      <c r="D25" s="40">
        <f>'4P 3PH rating '!D25*1.1</f>
        <v>46.750000000000007</v>
      </c>
      <c r="E25" s="40">
        <f>'4P 3PH rating '!E25*1.1</f>
        <v>37.400000000000006</v>
      </c>
      <c r="F25" s="40">
        <f>'4P 3PH rating '!F25*1.1</f>
        <v>46.750000000000007</v>
      </c>
      <c r="G25" s="40">
        <f>'4P 3PH rating '!G25*1.1</f>
        <v>37.400000000000006</v>
      </c>
      <c r="H25" s="40">
        <f>'4P 3PH rating '!H25*1.1</f>
        <v>33</v>
      </c>
      <c r="I25" s="40">
        <f>'4P 3PH rating '!I25*1.1</f>
        <v>26.400000000000002</v>
      </c>
      <c r="J25" s="118" t="s">
        <v>184</v>
      </c>
      <c r="K25" s="118" t="s">
        <v>184</v>
      </c>
      <c r="L25" s="101">
        <f>'4P 3PH rating '!L25*1.1</f>
        <v>60.500000000000007</v>
      </c>
      <c r="M25" s="101">
        <f>'4P 3PH rating '!M25*1.1</f>
        <v>48.400000000000006</v>
      </c>
      <c r="N25" s="41">
        <f>'4P 3PH rating '!N25*1.1</f>
        <v>55.000000000000007</v>
      </c>
      <c r="O25" s="41">
        <f>'4P 3PH rating '!O25*1.1</f>
        <v>44</v>
      </c>
      <c r="P25" s="41">
        <f>'4P 3PH rating '!P25*1.1</f>
        <v>57.750000000000007</v>
      </c>
      <c r="Q25" s="41">
        <f>'4P 3PH rating '!Q25*1.1</f>
        <v>46.2</v>
      </c>
      <c r="R25" s="41">
        <f>'4P 3PH rating '!R25*1.1</f>
        <v>57.750000000000007</v>
      </c>
      <c r="S25" s="41">
        <f>'4P 3PH rating '!S25*1.1</f>
        <v>46.2</v>
      </c>
      <c r="T25" s="41">
        <f>'4P 3PH rating '!T25*1.1</f>
        <v>60.500000000000007</v>
      </c>
      <c r="U25" s="41">
        <f>'4P 3PH rating '!U25*1.1</f>
        <v>48.400000000000006</v>
      </c>
    </row>
    <row r="26" spans="1:21" ht="13.5" customHeight="1" x14ac:dyDescent="0.15">
      <c r="A26" s="31" t="s">
        <v>14</v>
      </c>
      <c r="B26" s="40">
        <f>'4P 3PH rating '!B26*1.1</f>
        <v>55.000000000000007</v>
      </c>
      <c r="C26" s="40">
        <f>'4P 3PH rating '!C26*1.1</f>
        <v>44</v>
      </c>
      <c r="D26" s="40">
        <f>'4P 3PH rating '!D26*1.1</f>
        <v>55.000000000000007</v>
      </c>
      <c r="E26" s="40">
        <f>'4P 3PH rating '!E26*1.1</f>
        <v>44</v>
      </c>
      <c r="F26" s="40">
        <f>'4P 3PH rating '!F26*1.1</f>
        <v>55.000000000000007</v>
      </c>
      <c r="G26" s="40">
        <f>'4P 3PH rating '!G26*1.1</f>
        <v>44</v>
      </c>
      <c r="H26" s="40">
        <f>'4P 3PH rating '!H26*1.1</f>
        <v>41.25</v>
      </c>
      <c r="I26" s="40">
        <f>'4P 3PH rating '!I26*1.1</f>
        <v>33</v>
      </c>
      <c r="J26" s="118" t="s">
        <v>184</v>
      </c>
      <c r="K26" s="118" t="s">
        <v>184</v>
      </c>
      <c r="L26" s="101">
        <f>'4P 3PH rating '!L26*1.1</f>
        <v>68.75</v>
      </c>
      <c r="M26" s="101">
        <f>'4P 3PH rating '!M26*1.1</f>
        <v>55.000000000000007</v>
      </c>
      <c r="N26" s="41">
        <f>'4P 3PH rating '!N26*1.1</f>
        <v>66</v>
      </c>
      <c r="O26" s="41">
        <f>'4P 3PH rating '!O26*1.1</f>
        <v>52.800000000000004</v>
      </c>
      <c r="P26" s="41">
        <f>'4P 3PH rating '!P26*1.1</f>
        <v>68.75</v>
      </c>
      <c r="Q26" s="41">
        <f>'4P 3PH rating '!Q26*1.1</f>
        <v>55.000000000000007</v>
      </c>
      <c r="R26" s="41">
        <f>'4P 3PH rating '!R26*1.1</f>
        <v>68.75</v>
      </c>
      <c r="S26" s="41">
        <f>'4P 3PH rating '!S26*1.1</f>
        <v>55.000000000000007</v>
      </c>
      <c r="T26" s="41">
        <f>'4P 3PH rating '!T26*1.1</f>
        <v>71.5</v>
      </c>
      <c r="U26" s="41">
        <f>'4P 3PH rating '!U26*1.1</f>
        <v>57.2</v>
      </c>
    </row>
    <row r="27" spans="1:21" ht="13.5" customHeight="1" x14ac:dyDescent="0.15">
      <c r="A27" s="31" t="s">
        <v>15</v>
      </c>
      <c r="B27" s="40">
        <f>'4P 3PH rating '!B27*1.1</f>
        <v>66</v>
      </c>
      <c r="C27" s="40">
        <f>'4P 3PH rating '!C27*1.1</f>
        <v>52.800000000000004</v>
      </c>
      <c r="D27" s="40">
        <f>'4P 3PH rating '!D27*1.1</f>
        <v>66</v>
      </c>
      <c r="E27" s="40">
        <f>'4P 3PH rating '!E27*1.1</f>
        <v>52.800000000000004</v>
      </c>
      <c r="F27" s="40">
        <f>'4P 3PH rating '!F27*1.1</f>
        <v>66</v>
      </c>
      <c r="G27" s="40">
        <f>'4P 3PH rating '!G27*1.1</f>
        <v>52.800000000000004</v>
      </c>
      <c r="H27" s="40">
        <f>'4P 3PH rating '!H27*1.1</f>
        <v>49.500000000000007</v>
      </c>
      <c r="I27" s="40">
        <f>'4P 3PH rating '!I27*1.1</f>
        <v>39.6</v>
      </c>
      <c r="J27" s="118" t="s">
        <v>184</v>
      </c>
      <c r="K27" s="118" t="s">
        <v>184</v>
      </c>
      <c r="L27" s="101">
        <f>'4P 3PH rating '!L27*1.1</f>
        <v>77</v>
      </c>
      <c r="M27" s="101">
        <f>'4P 3PH rating '!M27*1.1</f>
        <v>61.600000000000009</v>
      </c>
      <c r="N27" s="41">
        <f>'4P 3PH rating '!N27*1.1</f>
        <v>74.25</v>
      </c>
      <c r="O27" s="41">
        <f>'4P 3PH rating '!O27*1.1</f>
        <v>59.400000000000006</v>
      </c>
      <c r="P27" s="41">
        <f>'4P 3PH rating '!P27*1.1</f>
        <v>77</v>
      </c>
      <c r="Q27" s="41">
        <f>'4P 3PH rating '!Q27*1.1</f>
        <v>61.600000000000009</v>
      </c>
      <c r="R27" s="41">
        <f>'4P 3PH rating '!R27*1.1</f>
        <v>77</v>
      </c>
      <c r="S27" s="41">
        <f>'4P 3PH rating '!S27*1.1</f>
        <v>61.600000000000009</v>
      </c>
      <c r="T27" s="41">
        <f>'4P 3PH rating '!T27*1.1</f>
        <v>82.5</v>
      </c>
      <c r="U27" s="41">
        <f>'4P 3PH rating '!U27*1.1</f>
        <v>66</v>
      </c>
    </row>
    <row r="28" spans="1:21" ht="13.5" customHeight="1" x14ac:dyDescent="0.15">
      <c r="A28" s="31" t="s">
        <v>16</v>
      </c>
      <c r="B28" s="40">
        <f>'4P 3PH rating '!B28*1.1</f>
        <v>79.75</v>
      </c>
      <c r="C28" s="40">
        <f>'4P 3PH rating '!C28*1.1</f>
        <v>63.800000000000004</v>
      </c>
      <c r="D28" s="40">
        <f>'4P 3PH rating '!D28*1.1</f>
        <v>79.75</v>
      </c>
      <c r="E28" s="40">
        <f>'4P 3PH rating '!E28*1.1</f>
        <v>63.800000000000004</v>
      </c>
      <c r="F28" s="40">
        <f>'4P 3PH rating '!F28*1.1</f>
        <v>79.75</v>
      </c>
      <c r="G28" s="40">
        <f>'4P 3PH rating '!G28*1.1</f>
        <v>63.800000000000004</v>
      </c>
      <c r="H28" s="40">
        <f>'4P 3PH rating '!H28*1.1</f>
        <v>60.500000000000007</v>
      </c>
      <c r="I28" s="40">
        <f>'4P 3PH rating '!I28*1.1</f>
        <v>48.400000000000006</v>
      </c>
      <c r="J28" s="118" t="s">
        <v>184</v>
      </c>
      <c r="K28" s="118" t="s">
        <v>184</v>
      </c>
      <c r="L28" s="101">
        <f>'4P 3PH rating '!L28*1.1</f>
        <v>93.500000000000014</v>
      </c>
      <c r="M28" s="101">
        <f>'4P 3PH rating '!M28*1.1</f>
        <v>74.800000000000011</v>
      </c>
      <c r="N28" s="41">
        <f>'4P 3PH rating '!N28*1.1</f>
        <v>92.18</v>
      </c>
      <c r="O28" s="41">
        <f>'4P 3PH rating '!O28*1.1</f>
        <v>73.7</v>
      </c>
      <c r="P28" s="41">
        <f>'4P 3PH rating '!P28*1.1</f>
        <v>96.250000000000014</v>
      </c>
      <c r="Q28" s="41">
        <f>'4P 3PH rating '!Q28*1.1</f>
        <v>77</v>
      </c>
      <c r="R28" s="41">
        <f>'4P 3PH rating '!R28*1.1</f>
        <v>96.250000000000014</v>
      </c>
      <c r="S28" s="41">
        <f>'4P 3PH rating '!S28*1.1</f>
        <v>77</v>
      </c>
      <c r="T28" s="41">
        <f>'4P 3PH rating '!T28*1.1</f>
        <v>103.18</v>
      </c>
      <c r="U28" s="41">
        <f>'4P 3PH rating '!U28*1.1</f>
        <v>82.544000000000011</v>
      </c>
    </row>
    <row r="29" spans="1:21" ht="13.5" customHeight="1" x14ac:dyDescent="0.15">
      <c r="A29" s="31" t="s">
        <v>17</v>
      </c>
      <c r="B29" s="40">
        <f>'4P 3PH rating '!B29*1.1</f>
        <v>93.500000000000014</v>
      </c>
      <c r="C29" s="40">
        <f>'4P 3PH rating '!C29*1.1</f>
        <v>74.800000000000011</v>
      </c>
      <c r="D29" s="40">
        <f>'4P 3PH rating '!D29*1.1</f>
        <v>93.500000000000014</v>
      </c>
      <c r="E29" s="40">
        <f>'4P 3PH rating '!E29*1.1</f>
        <v>74.800000000000011</v>
      </c>
      <c r="F29" s="40">
        <f>'4P 3PH rating '!F29*1.1</f>
        <v>93.500000000000014</v>
      </c>
      <c r="G29" s="40">
        <f>'4P 3PH rating '!G29*1.1</f>
        <v>74.800000000000011</v>
      </c>
      <c r="H29" s="40">
        <f>'4P 3PH rating '!H29*1.1</f>
        <v>82.5</v>
      </c>
      <c r="I29" s="40">
        <f>'4P 3PH rating '!I29*1.1</f>
        <v>66</v>
      </c>
      <c r="J29" s="118" t="s">
        <v>184</v>
      </c>
      <c r="K29" s="118" t="s">
        <v>184</v>
      </c>
      <c r="L29" s="101">
        <f>'4P 3PH rating '!L29*1.1</f>
        <v>110.00000000000001</v>
      </c>
      <c r="M29" s="101">
        <f>'4P 3PH rating '!M29*1.1</f>
        <v>88</v>
      </c>
      <c r="N29" s="41">
        <f>'4P 3PH rating '!N29*1.1</f>
        <v>103.18</v>
      </c>
      <c r="O29" s="41">
        <f>'4P 3PH rating '!O29*1.1</f>
        <v>82.5</v>
      </c>
      <c r="P29" s="41">
        <f>'4P 3PH rating '!P29*1.1</f>
        <v>107.25000000000001</v>
      </c>
      <c r="Q29" s="41">
        <f>'4P 3PH rating '!Q29*1.1</f>
        <v>85.800000000000011</v>
      </c>
      <c r="R29" s="41">
        <f>'4P 3PH rating '!R29*1.1</f>
        <v>110.00000000000001</v>
      </c>
      <c r="S29" s="41">
        <f>'4P 3PH rating '!S29*1.1</f>
        <v>88</v>
      </c>
      <c r="T29" s="41">
        <f>'4P 3PH rating '!T29*1.1</f>
        <v>114.18</v>
      </c>
      <c r="U29" s="41">
        <f>'4P 3PH rating '!U29*1.1</f>
        <v>91.344000000000008</v>
      </c>
    </row>
    <row r="30" spans="1:21" ht="13.5" customHeight="1" x14ac:dyDescent="0.15">
      <c r="A30" s="31"/>
      <c r="B30" s="29"/>
      <c r="C30" s="29"/>
      <c r="D30" s="29"/>
      <c r="E30" s="29"/>
      <c r="F30" s="29"/>
      <c r="G30" s="29"/>
      <c r="H30" s="29"/>
      <c r="I30" s="29"/>
      <c r="J30" s="118"/>
      <c r="K30" s="118"/>
      <c r="L30" s="101"/>
      <c r="M30" s="101"/>
      <c r="N30" s="27"/>
      <c r="O30" s="27"/>
      <c r="P30" s="27"/>
      <c r="Q30" s="27"/>
      <c r="R30" s="27"/>
      <c r="S30" s="27"/>
      <c r="T30" s="27"/>
      <c r="U30" s="27"/>
    </row>
    <row r="31" spans="1:21" ht="13.5" customHeight="1" x14ac:dyDescent="0.15">
      <c r="A31" s="31" t="s">
        <v>18</v>
      </c>
      <c r="B31" s="89">
        <f>'4P 3PH rating '!B31*1.1</f>
        <v>110.00000000000001</v>
      </c>
      <c r="C31" s="89">
        <f>'4P 3PH rating '!C31*1.1</f>
        <v>88</v>
      </c>
      <c r="D31" s="89">
        <f>'4P 3PH rating '!D31*1.1</f>
        <v>110.00000000000001</v>
      </c>
      <c r="E31" s="89">
        <f>'4P 3PH rating '!E31*1.1</f>
        <v>88</v>
      </c>
      <c r="F31" s="89">
        <f>'4P 3PH rating '!F31*1.1</f>
        <v>110.00000000000001</v>
      </c>
      <c r="G31" s="89">
        <f>'4P 3PH rating '!G31*1.1</f>
        <v>88</v>
      </c>
      <c r="H31" s="29"/>
      <c r="I31" s="29"/>
      <c r="J31" s="118" t="s">
        <v>184</v>
      </c>
      <c r="K31" s="118" t="s">
        <v>184</v>
      </c>
      <c r="L31" s="101">
        <f>'4P 3PH rating '!L31*1.1</f>
        <v>132</v>
      </c>
      <c r="M31" s="101">
        <f>'4P 3PH rating '!M31*1.1</f>
        <v>105.60000000000001</v>
      </c>
      <c r="N31" s="95">
        <f>'4P 3PH rating '!N31*1.1</f>
        <v>123.75000000000001</v>
      </c>
      <c r="O31" s="95">
        <f>'4P 3PH rating '!O31*1.1</f>
        <v>99.000000000000014</v>
      </c>
      <c r="P31" s="95">
        <f>'4P 3PH rating '!P31*1.1</f>
        <v>129.25</v>
      </c>
      <c r="Q31" s="95">
        <f>'4P 3PH rating '!Q31*1.1</f>
        <v>103.4</v>
      </c>
      <c r="R31" s="95">
        <f>'4P 3PH rating '!R31*1.1</f>
        <v>129.25</v>
      </c>
      <c r="S31" s="95">
        <f>'4P 3PH rating '!S31*1.1</f>
        <v>103.4</v>
      </c>
      <c r="T31" s="95">
        <f>'4P 3PH rating '!T31*1.1</f>
        <v>137.5</v>
      </c>
      <c r="U31" s="95">
        <f>'4P 3PH rating '!U31*1.1</f>
        <v>110.00000000000001</v>
      </c>
    </row>
    <row r="32" spans="1:21" ht="13.5" customHeight="1" x14ac:dyDescent="0.15">
      <c r="A32" s="31" t="s">
        <v>38</v>
      </c>
      <c r="B32" s="89">
        <f>'4P 3PH rating '!B32*1.1</f>
        <v>137.5</v>
      </c>
      <c r="C32" s="89">
        <f>'4P 3PH rating '!C32*1.1</f>
        <v>110.00000000000001</v>
      </c>
      <c r="D32" s="89">
        <f>'4P 3PH rating '!D32*1.1</f>
        <v>137.5</v>
      </c>
      <c r="E32" s="89">
        <f>'4P 3PH rating '!E32*1.1</f>
        <v>110.00000000000001</v>
      </c>
      <c r="F32" s="89">
        <f>'4P 3PH rating '!F32*1.1</f>
        <v>137.5</v>
      </c>
      <c r="G32" s="89">
        <f>'4P 3PH rating '!G32*1.1</f>
        <v>110.00000000000001</v>
      </c>
      <c r="H32" s="29"/>
      <c r="I32" s="29"/>
      <c r="J32" s="118" t="s">
        <v>184</v>
      </c>
      <c r="K32" s="118" t="s">
        <v>184</v>
      </c>
      <c r="L32" s="101">
        <f>'4P 3PH rating '!L32*1.1</f>
        <v>154</v>
      </c>
      <c r="M32" s="101">
        <f>'4P 3PH rating '!M32*1.1</f>
        <v>123.20000000000002</v>
      </c>
      <c r="N32" s="95">
        <f>'4P 3PH rating '!N32*1.1</f>
        <v>154</v>
      </c>
      <c r="O32" s="95">
        <f>'4P 3PH rating '!O32*1.1</f>
        <v>123.20000000000002</v>
      </c>
      <c r="P32" s="95">
        <f>'4P 3PH rating '!P32*1.1</f>
        <v>165</v>
      </c>
      <c r="Q32" s="95">
        <f>'4P 3PH rating '!Q32*1.1</f>
        <v>132</v>
      </c>
      <c r="R32" s="95">
        <f>'4P 3PH rating '!R32*1.1</f>
        <v>165</v>
      </c>
      <c r="S32" s="95">
        <f>'4P 3PH rating '!S32*1.1</f>
        <v>132</v>
      </c>
      <c r="T32" s="95">
        <f>'4P 3PH rating '!T32*1.1</f>
        <v>165</v>
      </c>
      <c r="U32" s="95">
        <f>'4P 3PH rating '!U32*1.1</f>
        <v>132</v>
      </c>
    </row>
    <row r="33" spans="1:21" ht="13.5" customHeight="1" x14ac:dyDescent="0.15">
      <c r="A33" s="31" t="s">
        <v>19</v>
      </c>
      <c r="B33" s="89">
        <f>'4P 3PH rating '!B33*1.1</f>
        <v>154</v>
      </c>
      <c r="C33" s="89">
        <f>'4P 3PH rating '!C33*1.1</f>
        <v>123.20000000000002</v>
      </c>
      <c r="D33" s="89">
        <f>'4P 3PH rating '!D33*1.1</f>
        <v>154</v>
      </c>
      <c r="E33" s="89">
        <f>'4P 3PH rating '!E33*1.1</f>
        <v>123.20000000000002</v>
      </c>
      <c r="F33" s="89">
        <f>'4P 3PH rating '!F33*1.1</f>
        <v>154</v>
      </c>
      <c r="G33" s="89">
        <f>'4P 3PH rating '!G33*1.1</f>
        <v>123.20000000000002</v>
      </c>
      <c r="H33" s="29"/>
      <c r="I33" s="29"/>
      <c r="J33" s="118" t="s">
        <v>184</v>
      </c>
      <c r="K33" s="118" t="s">
        <v>184</v>
      </c>
      <c r="L33" s="101">
        <f>'4P 3PH rating '!L33*1.1</f>
        <v>176</v>
      </c>
      <c r="M33" s="101">
        <f>'4P 3PH rating '!M33*1.1</f>
        <v>140.80000000000001</v>
      </c>
      <c r="N33" s="95">
        <f>'4P 3PH rating '!N33*1.1</f>
        <v>176</v>
      </c>
      <c r="O33" s="95">
        <f>'4P 3PH rating '!O33*1.1</f>
        <v>140.80000000000001</v>
      </c>
      <c r="P33" s="95">
        <f>'4P 3PH rating '!P33*1.1</f>
        <v>184.8</v>
      </c>
      <c r="Q33" s="95">
        <f>'4P 3PH rating '!Q33*1.1</f>
        <v>147.4</v>
      </c>
      <c r="R33" s="95">
        <f>'4P 3PH rating '!R33*1.1</f>
        <v>184.8</v>
      </c>
      <c r="S33" s="95">
        <f>'4P 3PH rating '!S33*1.1</f>
        <v>147.4</v>
      </c>
      <c r="T33" s="95">
        <f>'4P 3PH rating '!T33*1.1</f>
        <v>195.8</v>
      </c>
      <c r="U33" s="95">
        <f>'4P 3PH rating '!U33*1.1</f>
        <v>156.64000000000001</v>
      </c>
    </row>
    <row r="34" spans="1:21" ht="13.5" customHeight="1" x14ac:dyDescent="0.15">
      <c r="A34" s="31" t="s">
        <v>20</v>
      </c>
      <c r="B34" s="89">
        <f>'4P 3PH rating '!B34*1.1</f>
        <v>165</v>
      </c>
      <c r="C34" s="89">
        <f>'4P 3PH rating '!C34*1.1</f>
        <v>132</v>
      </c>
      <c r="D34" s="89">
        <f>'4P 3PH rating '!D34*1.1</f>
        <v>165</v>
      </c>
      <c r="E34" s="89">
        <f>'4P 3PH rating '!E34*1.1</f>
        <v>132</v>
      </c>
      <c r="F34" s="89">
        <f>'4P 3PH rating '!F34*1.1</f>
        <v>165</v>
      </c>
      <c r="G34" s="89">
        <f>'4P 3PH rating '!G34*1.1</f>
        <v>132</v>
      </c>
      <c r="H34" s="29"/>
      <c r="I34" s="29"/>
      <c r="J34" s="118" t="s">
        <v>184</v>
      </c>
      <c r="K34" s="118" t="s">
        <v>184</v>
      </c>
      <c r="L34" s="101">
        <f>'4P 3PH rating '!L34*1.1</f>
        <v>187.00000000000003</v>
      </c>
      <c r="M34" s="101">
        <f>'4P 3PH rating '!M34*1.1</f>
        <v>149.60000000000002</v>
      </c>
      <c r="N34" s="95">
        <f>'4P 3PH rating '!N34*1.1</f>
        <v>187.00000000000003</v>
      </c>
      <c r="O34" s="95">
        <f>'4P 3PH rating '!O34*1.1</f>
        <v>149.60000000000002</v>
      </c>
      <c r="P34" s="95">
        <f>'4P 3PH rating '!P34*1.1</f>
        <v>198.00000000000003</v>
      </c>
      <c r="Q34" s="95">
        <f>'4P 3PH rating '!Q34*1.1</f>
        <v>158.4</v>
      </c>
      <c r="R34" s="95">
        <f>'4P 3PH rating '!R34*1.1</f>
        <v>198.00000000000003</v>
      </c>
      <c r="S34" s="95">
        <f>'4P 3PH rating '!S34*1.1</f>
        <v>158.4</v>
      </c>
      <c r="T34" s="95">
        <f>'4P 3PH rating '!T34*1.1</f>
        <v>209.00000000000003</v>
      </c>
      <c r="U34" s="95">
        <f>'4P 3PH rating '!U34*1.1</f>
        <v>167.20000000000002</v>
      </c>
    </row>
    <row r="35" spans="1:21" ht="13.5" customHeight="1" x14ac:dyDescent="0.15">
      <c r="A35" s="31" t="s">
        <v>21</v>
      </c>
      <c r="B35" s="89">
        <f>'4P 3PH rating '!B35*1.1</f>
        <v>176</v>
      </c>
      <c r="C35" s="89">
        <f>'4P 3PH rating '!C35*1.1</f>
        <v>140.80000000000001</v>
      </c>
      <c r="D35" s="89">
        <f>'4P 3PH rating '!D35*1.1</f>
        <v>176</v>
      </c>
      <c r="E35" s="89">
        <f>'4P 3PH rating '!E35*1.1</f>
        <v>140.80000000000001</v>
      </c>
      <c r="F35" s="89">
        <f>'4P 3PH rating '!F35*1.1</f>
        <v>176</v>
      </c>
      <c r="G35" s="89">
        <f>'4P 3PH rating '!G35*1.1</f>
        <v>140.80000000000001</v>
      </c>
      <c r="H35" s="29"/>
      <c r="I35" s="29"/>
      <c r="J35" s="118" t="s">
        <v>184</v>
      </c>
      <c r="K35" s="118" t="s">
        <v>184</v>
      </c>
      <c r="L35" s="101">
        <f>'4P 3PH rating '!L35*1.1</f>
        <v>198.00000000000003</v>
      </c>
      <c r="M35" s="101">
        <f>'4P 3PH rating '!M35*1.1</f>
        <v>158.4</v>
      </c>
      <c r="N35" s="95">
        <f>'4P 3PH rating '!N35*1.1</f>
        <v>199.10000000000002</v>
      </c>
      <c r="O35" s="95">
        <f>'4P 3PH rating '!O35*1.1</f>
        <v>159.28000000000003</v>
      </c>
      <c r="P35" s="95">
        <f>'4P 3PH rating '!P35*1.1</f>
        <v>209.00000000000003</v>
      </c>
      <c r="Q35" s="95">
        <f>'4P 3PH rating '!Q35*1.1</f>
        <v>167.20000000000002</v>
      </c>
      <c r="R35" s="95">
        <f>'4P 3PH rating '!R35*1.1</f>
        <v>209.00000000000003</v>
      </c>
      <c r="S35" s="95">
        <f>'4P 3PH rating '!S35*1.1</f>
        <v>167.20000000000002</v>
      </c>
      <c r="T35" s="95">
        <f>'4P 3PH rating '!T35*1.1</f>
        <v>220.00000000000003</v>
      </c>
      <c r="U35" s="95">
        <f>'4P 3PH rating '!U35*1.1</f>
        <v>176</v>
      </c>
    </row>
    <row r="36" spans="1:21" ht="13.5" customHeight="1" x14ac:dyDescent="0.15">
      <c r="A36" s="31" t="s">
        <v>22</v>
      </c>
      <c r="B36" s="89">
        <f>'4P 3PH rating '!B36*1.1</f>
        <v>198.00000000000003</v>
      </c>
      <c r="C36" s="89">
        <f>'4P 3PH rating '!C36*1.1</f>
        <v>158.4</v>
      </c>
      <c r="D36" s="89">
        <f>'4P 3PH rating '!D36*1.1</f>
        <v>198.00000000000003</v>
      </c>
      <c r="E36" s="89">
        <f>'4P 3PH rating '!E36*1.1</f>
        <v>158.4</v>
      </c>
      <c r="F36" s="89">
        <f>'4P 3PH rating '!F36*1.1</f>
        <v>198.00000000000003</v>
      </c>
      <c r="G36" s="89">
        <f>'4P 3PH rating '!G36*1.1</f>
        <v>158.4</v>
      </c>
      <c r="H36" s="29"/>
      <c r="I36" s="29"/>
      <c r="J36" s="118" t="s">
        <v>184</v>
      </c>
      <c r="K36" s="118" t="s">
        <v>184</v>
      </c>
      <c r="L36" s="101">
        <f>'4P 3PH rating '!L36*1.1</f>
        <v>220.00000000000003</v>
      </c>
      <c r="M36" s="101">
        <f>'4P 3PH rating '!M36*1.1</f>
        <v>176</v>
      </c>
      <c r="N36" s="95">
        <f>'4P 3PH rating '!N36*1.1</f>
        <v>220.00000000000003</v>
      </c>
      <c r="O36" s="95">
        <f>'4P 3PH rating '!O36*1.1</f>
        <v>176</v>
      </c>
      <c r="P36" s="95">
        <f>'4P 3PH rating '!P36*1.1</f>
        <v>234.3</v>
      </c>
      <c r="Q36" s="95">
        <f>'4P 3PH rating '!Q36*1.1</f>
        <v>187.44000000000003</v>
      </c>
      <c r="R36" s="95">
        <f>'4P 3PH rating '!R36*1.1</f>
        <v>234.3</v>
      </c>
      <c r="S36" s="95">
        <f>'4P 3PH rating '!S36*1.1</f>
        <v>187.44000000000003</v>
      </c>
      <c r="T36" s="95">
        <f>'4P 3PH rating '!T36*1.1</f>
        <v>242.00000000000003</v>
      </c>
      <c r="U36" s="95">
        <f>'4P 3PH rating '!U36*1.1</f>
        <v>193.60000000000002</v>
      </c>
    </row>
    <row r="37" spans="1:21" ht="13.5" customHeight="1" x14ac:dyDescent="0.15">
      <c r="A37" s="31" t="s">
        <v>23</v>
      </c>
      <c r="B37" s="89">
        <f>'4P 3PH rating '!B37*1.1</f>
        <v>220.00000000000003</v>
      </c>
      <c r="C37" s="89">
        <f>'4P 3PH rating '!C37*1.1</f>
        <v>176</v>
      </c>
      <c r="D37" s="89">
        <f>'4P 3PH rating '!D37*1.1</f>
        <v>220.00000000000003</v>
      </c>
      <c r="E37" s="89">
        <f>'4P 3PH rating '!E37*1.1</f>
        <v>176</v>
      </c>
      <c r="F37" s="89">
        <f>'4P 3PH rating '!F37*1.1</f>
        <v>220.00000000000003</v>
      </c>
      <c r="G37" s="89">
        <f>'4P 3PH rating '!G37*1.1</f>
        <v>176</v>
      </c>
      <c r="H37" s="29"/>
      <c r="I37" s="29"/>
      <c r="J37" s="118" t="s">
        <v>184</v>
      </c>
      <c r="K37" s="118" t="s">
        <v>184</v>
      </c>
      <c r="L37" s="101">
        <f>'4P 3PH rating '!L37*1.1</f>
        <v>261.25</v>
      </c>
      <c r="M37" s="101">
        <f>'4P 3PH rating '!M37*1.1</f>
        <v>209.00000000000003</v>
      </c>
      <c r="N37" s="95">
        <f>'4P 3PH rating '!N37*1.1</f>
        <v>260.70000000000005</v>
      </c>
      <c r="O37" s="95">
        <f>'4P 3PH rating '!O37*1.1</f>
        <v>208.56000000000003</v>
      </c>
      <c r="P37" s="95">
        <f>'4P 3PH rating '!P37*1.1</f>
        <v>269.5</v>
      </c>
      <c r="Q37" s="95">
        <f>'4P 3PH rating '!Q37*1.1</f>
        <v>215.60000000000002</v>
      </c>
      <c r="R37" s="95">
        <f>'4P 3PH rating '!R37*1.1</f>
        <v>269.5</v>
      </c>
      <c r="S37" s="95">
        <f>'4P 3PH rating '!S37*1.1</f>
        <v>215.60000000000002</v>
      </c>
      <c r="T37" s="95">
        <f>'4P 3PH rating '!T37*1.1</f>
        <v>275</v>
      </c>
      <c r="U37" s="95">
        <f>'4P 3PH rating '!U37*1.1</f>
        <v>220.00000000000003</v>
      </c>
    </row>
    <row r="38" spans="1:21" ht="13.5" customHeight="1" x14ac:dyDescent="0.15">
      <c r="A38" s="31" t="s">
        <v>24</v>
      </c>
      <c r="B38" s="89">
        <f>'4P 3PH rating '!B38*1.1</f>
        <v>247.50000000000003</v>
      </c>
      <c r="C38" s="89">
        <f>'4P 3PH rating '!C38*1.1</f>
        <v>198.00000000000003</v>
      </c>
      <c r="D38" s="89">
        <f>'4P 3PH rating '!D38*1.1</f>
        <v>247.50000000000003</v>
      </c>
      <c r="E38" s="89">
        <f>'4P 3PH rating '!E38*1.1</f>
        <v>198.00000000000003</v>
      </c>
      <c r="F38" s="89">
        <f>'4P 3PH rating '!F38*1.1</f>
        <v>247.50000000000003</v>
      </c>
      <c r="G38" s="89">
        <f>'4P 3PH rating '!G38*1.1</f>
        <v>198.00000000000003</v>
      </c>
      <c r="H38" s="29"/>
      <c r="I38" s="29"/>
      <c r="J38" s="118" t="s">
        <v>184</v>
      </c>
      <c r="K38" s="118" t="s">
        <v>184</v>
      </c>
      <c r="L38" s="101">
        <f>'4P 3PH rating '!L38*1.1</f>
        <v>308</v>
      </c>
      <c r="M38" s="101">
        <f>'4P 3PH rating '!M38*1.1</f>
        <v>247.50000000000003</v>
      </c>
      <c r="N38" s="95">
        <f>'4P 3PH rating '!N38*1.1</f>
        <v>295.90000000000003</v>
      </c>
      <c r="O38" s="95">
        <f>'4P 3PH rating '!O38*1.1</f>
        <v>236.72000000000003</v>
      </c>
      <c r="P38" s="95">
        <f>'4P 3PH rating '!P38*1.1</f>
        <v>309.10000000000002</v>
      </c>
      <c r="Q38" s="95">
        <f>'4P 3PH rating '!Q38*1.1</f>
        <v>247.50000000000003</v>
      </c>
      <c r="R38" s="95">
        <f>'4P 3PH rating '!R38*1.1</f>
        <v>309.10000000000002</v>
      </c>
      <c r="S38" s="95">
        <f>'4P 3PH rating '!S38*1.1</f>
        <v>247.28000000000003</v>
      </c>
      <c r="T38" s="95">
        <f>'4P 3PH rating '!T38*1.1</f>
        <v>330</v>
      </c>
      <c r="U38" s="95">
        <f>'4P 3PH rating '!U38*1.1</f>
        <v>264</v>
      </c>
    </row>
    <row r="39" spans="1:21" ht="13.5" customHeight="1" x14ac:dyDescent="0.15">
      <c r="A39" s="31" t="s">
        <v>25</v>
      </c>
      <c r="B39" s="89">
        <f>'4P 3PH rating '!B39*1.1</f>
        <v>275</v>
      </c>
      <c r="C39" s="89">
        <f>'4P 3PH rating '!C39*1.1</f>
        <v>220.00000000000003</v>
      </c>
      <c r="D39" s="89">
        <f>'4P 3PH rating '!D39*1.1</f>
        <v>275</v>
      </c>
      <c r="E39" s="89">
        <f>'4P 3PH rating '!E39*1.1</f>
        <v>220.00000000000003</v>
      </c>
      <c r="F39" s="89">
        <f>'4P 3PH rating '!F39*1.1</f>
        <v>275</v>
      </c>
      <c r="G39" s="89">
        <f>'4P 3PH rating '!G39*1.1</f>
        <v>220.00000000000003</v>
      </c>
      <c r="H39" s="29"/>
      <c r="I39" s="29"/>
      <c r="J39" s="118" t="s">
        <v>184</v>
      </c>
      <c r="K39" s="118" t="s">
        <v>184</v>
      </c>
      <c r="L39" s="101">
        <f>'4P 3PH rating '!L39*1.1</f>
        <v>330</v>
      </c>
      <c r="M39" s="101">
        <f>'4P 3PH rating '!M39*1.1</f>
        <v>264</v>
      </c>
      <c r="N39" s="95">
        <f>'4P 3PH rating '!N39*1.1</f>
        <v>320.10000000000002</v>
      </c>
      <c r="O39" s="95">
        <f>'4P 3PH rating '!O39*1.1</f>
        <v>256.08000000000004</v>
      </c>
      <c r="P39" s="95">
        <f>'4P 3PH rating '!P39*1.1</f>
        <v>330</v>
      </c>
      <c r="Q39" s="95">
        <f>'4P 3PH rating '!Q39*1.1</f>
        <v>264</v>
      </c>
      <c r="R39" s="95">
        <f>'4P 3PH rating '!R39*1.1</f>
        <v>330</v>
      </c>
      <c r="S39" s="95">
        <f>'4P 3PH rating '!S39*1.1</f>
        <v>264</v>
      </c>
      <c r="T39" s="95">
        <f>'4P 3PH rating '!T39*1.1</f>
        <v>343.75</v>
      </c>
      <c r="U39" s="95">
        <f>'4P 3PH rating '!U39*1.1</f>
        <v>275</v>
      </c>
    </row>
    <row r="40" spans="1:21" ht="13.5" customHeight="1" x14ac:dyDescent="0.15">
      <c r="A40" s="31"/>
      <c r="B40" s="29"/>
      <c r="C40" s="29"/>
      <c r="D40" s="29"/>
      <c r="E40" s="29"/>
      <c r="F40" s="29"/>
      <c r="G40" s="29"/>
      <c r="H40" s="29"/>
      <c r="I40" s="29"/>
      <c r="J40" s="101"/>
      <c r="K40" s="101"/>
      <c r="L40" s="101"/>
      <c r="M40" s="101"/>
      <c r="N40" s="27"/>
      <c r="O40" s="27"/>
      <c r="P40" s="27"/>
      <c r="Q40" s="27"/>
      <c r="R40" s="27"/>
      <c r="S40" s="27"/>
      <c r="T40" s="27"/>
      <c r="U40" s="27"/>
    </row>
    <row r="41" spans="1:21" ht="13.5" customHeight="1" x14ac:dyDescent="0.15">
      <c r="A41" s="32" t="s">
        <v>29</v>
      </c>
      <c r="B41" s="89">
        <f>'4P 3PH rating '!B41*1.1</f>
        <v>275</v>
      </c>
      <c r="C41" s="89">
        <f>'4P 3PH rating '!C41*1.1</f>
        <v>220.00000000000003</v>
      </c>
      <c r="D41" s="89">
        <f>'4P 3PH rating '!D41*1.1</f>
        <v>275</v>
      </c>
      <c r="E41" s="89">
        <f>'4P 3PH rating '!E41*1.1</f>
        <v>220.00000000000003</v>
      </c>
      <c r="F41" s="89">
        <f>'4P 3PH rating '!F41*1.1</f>
        <v>275</v>
      </c>
      <c r="G41" s="89">
        <f>'4P 3PH rating '!G41*1.1</f>
        <v>220.00000000000003</v>
      </c>
      <c r="H41" s="89">
        <f>'4P 3PH rating '!H41*1.1</f>
        <v>275</v>
      </c>
      <c r="I41" s="89">
        <f>'4P 3PH rating '!I41*1.1</f>
        <v>220.00000000000003</v>
      </c>
      <c r="J41" s="101">
        <f>'4P 3PH rating '!J41*1.1</f>
        <v>330</v>
      </c>
      <c r="K41" s="101">
        <f>'4P 3PH rating '!K41*1.1</f>
        <v>264</v>
      </c>
      <c r="L41" s="101">
        <f>'4P 3PH rating '!L41*1.1</f>
        <v>330</v>
      </c>
      <c r="M41" s="101">
        <f>'4P 3PH rating '!M41*1.1</f>
        <v>264</v>
      </c>
      <c r="N41" s="95">
        <f>'4P 3PH rating '!N41*1.1</f>
        <v>316.25</v>
      </c>
      <c r="O41" s="95">
        <f>'4P 3PH rating '!O41*1.1</f>
        <v>253.00000000000003</v>
      </c>
      <c r="P41" s="95">
        <f>'4P 3PH rating '!P41*1.1</f>
        <v>330</v>
      </c>
      <c r="Q41" s="95">
        <f>'4P 3PH rating '!Q41*1.1</f>
        <v>264</v>
      </c>
      <c r="R41" s="95">
        <f>'4P 3PH rating '!R41*1.1</f>
        <v>330</v>
      </c>
      <c r="S41" s="95">
        <f>'4P 3PH rating '!S41*1.1</f>
        <v>264</v>
      </c>
      <c r="T41" s="95">
        <f>'4P 3PH rating '!T41*1.1</f>
        <v>343.75</v>
      </c>
      <c r="U41" s="95">
        <f>'4P 3PH rating '!U41*1.1</f>
        <v>275</v>
      </c>
    </row>
    <row r="42" spans="1:21" ht="13.5" customHeight="1" x14ac:dyDescent="0.15">
      <c r="A42" s="32" t="s">
        <v>30</v>
      </c>
      <c r="B42" s="89">
        <f>'4P 3PH rating '!B42*1.1</f>
        <v>330</v>
      </c>
      <c r="C42" s="89">
        <f>'4P 3PH rating '!C42*1.1</f>
        <v>264</v>
      </c>
      <c r="D42" s="89">
        <f>'4P 3PH rating '!D42*1.1</f>
        <v>330</v>
      </c>
      <c r="E42" s="89">
        <f>'4P 3PH rating '!E42*1.1</f>
        <v>264</v>
      </c>
      <c r="F42" s="89">
        <f>'4P 3PH rating '!F42*1.1</f>
        <v>330</v>
      </c>
      <c r="G42" s="89">
        <f>'4P 3PH rating '!G42*1.1</f>
        <v>264</v>
      </c>
      <c r="H42" s="89">
        <f>'4P 3PH rating '!H42*1.1</f>
        <v>308</v>
      </c>
      <c r="I42" s="89">
        <f>'4P 3PH rating '!I42*1.1</f>
        <v>246.40000000000003</v>
      </c>
      <c r="J42" s="101">
        <f>'4P 3PH rating '!J42*1.1</f>
        <v>385.00000000000006</v>
      </c>
      <c r="K42" s="101">
        <f>'4P 3PH rating '!K42*1.1</f>
        <v>308</v>
      </c>
      <c r="L42" s="101">
        <f>'4P 3PH rating '!L42*1.1</f>
        <v>385.00000000000006</v>
      </c>
      <c r="M42" s="101">
        <f>'4P 3PH rating '!M42*1.1</f>
        <v>308</v>
      </c>
      <c r="N42" s="95">
        <f>'4P 3PH rating '!N42*1.1</f>
        <v>374.00000000000006</v>
      </c>
      <c r="O42" s="95">
        <f>'4P 3PH rating '!O42*1.1</f>
        <v>299.20000000000005</v>
      </c>
      <c r="P42" s="95">
        <f>'4P 3PH rating '!P42*1.1</f>
        <v>396.00000000000006</v>
      </c>
      <c r="Q42" s="95">
        <f>'4P 3PH rating '!Q42*1.1</f>
        <v>316.8</v>
      </c>
      <c r="R42" s="95">
        <f>'4P 3PH rating '!R42*1.1</f>
        <v>396.00000000000006</v>
      </c>
      <c r="S42" s="95">
        <f>'4P 3PH rating '!S42*1.1</f>
        <v>316.8</v>
      </c>
      <c r="T42" s="95">
        <f>'4P 3PH rating '!T42*1.1</f>
        <v>412.50000000000006</v>
      </c>
      <c r="U42" s="95">
        <f>'4P 3PH rating '!U42*1.1</f>
        <v>330</v>
      </c>
    </row>
    <row r="43" spans="1:21" ht="13.5" customHeight="1" x14ac:dyDescent="0.15">
      <c r="A43" s="32" t="s">
        <v>26</v>
      </c>
      <c r="B43" s="89">
        <f>'4P 3PH rating '!B43*1.1</f>
        <v>344.3</v>
      </c>
      <c r="C43" s="89">
        <f>'4P 3PH rating '!C43*1.1</f>
        <v>275</v>
      </c>
      <c r="D43" s="89">
        <f>'4P 3PH rating '!D43*1.1</f>
        <v>344.3</v>
      </c>
      <c r="E43" s="89">
        <f>'4P 3PH rating '!E43*1.1</f>
        <v>275</v>
      </c>
      <c r="F43" s="89">
        <f>'4P 3PH rating '!F43*1.1</f>
        <v>344.3</v>
      </c>
      <c r="G43" s="89">
        <f>'4P 3PH rating '!G43*1.1</f>
        <v>275</v>
      </c>
      <c r="H43" s="89">
        <f>'4P 3PH rating '!H43*1.1</f>
        <v>319</v>
      </c>
      <c r="I43" s="89">
        <f>'4P 3PH rating '!I43*1.1</f>
        <v>255.20000000000002</v>
      </c>
      <c r="J43" s="101">
        <f>'4P 3PH rating '!J43*1.1</f>
        <v>396.00000000000006</v>
      </c>
      <c r="K43" s="101">
        <f>'4P 3PH rating '!K43*1.1</f>
        <v>316.8</v>
      </c>
      <c r="L43" s="101">
        <f>'4P 3PH rating '!L43*1.1</f>
        <v>396.00000000000006</v>
      </c>
      <c r="M43" s="101">
        <f>'4P 3PH rating '!M43*1.1</f>
        <v>316.8</v>
      </c>
      <c r="N43" s="95">
        <f>'4P 3PH rating '!N43*1.1</f>
        <v>385.00000000000006</v>
      </c>
      <c r="O43" s="95">
        <f>'4P 3PH rating '!O43*1.1</f>
        <v>308</v>
      </c>
      <c r="P43" s="95">
        <f>'4P 3PH rating '!P43*1.1</f>
        <v>412.50000000000006</v>
      </c>
      <c r="Q43" s="95">
        <f>'4P 3PH rating '!Q43*1.1</f>
        <v>330</v>
      </c>
      <c r="R43" s="95">
        <f>'4P 3PH rating '!R43*1.1</f>
        <v>412.50000000000006</v>
      </c>
      <c r="S43" s="95">
        <f>'4P 3PH rating '!S43*1.1</f>
        <v>330</v>
      </c>
      <c r="T43" s="95">
        <f>'4P 3PH rating '!T43*1.1</f>
        <v>426.8</v>
      </c>
      <c r="U43" s="95">
        <f>'4P 3PH rating '!U43*1.1</f>
        <v>341.44000000000005</v>
      </c>
    </row>
    <row r="44" spans="1:21" ht="13.5" customHeight="1" x14ac:dyDescent="0.15">
      <c r="A44" s="32" t="s">
        <v>31</v>
      </c>
      <c r="B44" s="89">
        <f>'4P 3PH rating '!B44*1.1</f>
        <v>357.50000000000006</v>
      </c>
      <c r="C44" s="89">
        <f>'4P 3PH rating '!C44*1.1</f>
        <v>286</v>
      </c>
      <c r="D44" s="89">
        <f>'4P 3PH rating '!D44*1.1</f>
        <v>357.50000000000006</v>
      </c>
      <c r="E44" s="89">
        <f>'4P 3PH rating '!E44*1.1</f>
        <v>286</v>
      </c>
      <c r="F44" s="89">
        <f>'4P 3PH rating '!F44*1.1</f>
        <v>357.50000000000006</v>
      </c>
      <c r="G44" s="89">
        <f>'4P 3PH rating '!G44*1.1</f>
        <v>286</v>
      </c>
      <c r="H44" s="89">
        <f>'4P 3PH rating '!H44*1.1</f>
        <v>357.50000000000006</v>
      </c>
      <c r="I44" s="89">
        <f>'4P 3PH rating '!I44*1.1</f>
        <v>286</v>
      </c>
      <c r="J44" s="118" t="s">
        <v>184</v>
      </c>
      <c r="K44" s="118" t="s">
        <v>184</v>
      </c>
      <c r="L44" s="118" t="s">
        <v>184</v>
      </c>
      <c r="M44" s="118" t="s">
        <v>184</v>
      </c>
      <c r="N44" s="95">
        <f>'4P 3PH rating '!N44*1.1</f>
        <v>419.1</v>
      </c>
      <c r="O44" s="95">
        <f>'4P 3PH rating '!O44*1.1</f>
        <v>335.28000000000003</v>
      </c>
      <c r="P44" s="95">
        <f>'4P 3PH rating '!P44*1.1</f>
        <v>440.00000000000006</v>
      </c>
      <c r="Q44" s="95">
        <f>'4P 3PH rating '!Q44*1.1</f>
        <v>352</v>
      </c>
      <c r="R44" s="95">
        <f>'4P 3PH rating '!R44*1.1</f>
        <v>440.00000000000006</v>
      </c>
      <c r="S44" s="95">
        <f>'4P 3PH rating '!S44*1.1</f>
        <v>352</v>
      </c>
      <c r="T44" s="95">
        <f>'4P 3PH rating '!T44*1.1</f>
        <v>456.50000000000006</v>
      </c>
      <c r="U44" s="95">
        <f>'4P 3PH rating '!U44*1.1</f>
        <v>365.20000000000005</v>
      </c>
    </row>
    <row r="45" spans="1:21" ht="13.5" customHeight="1" x14ac:dyDescent="0.15">
      <c r="A45" s="32" t="s">
        <v>27</v>
      </c>
      <c r="B45" s="89">
        <f>'4P 3PH rating '!B45*1.1</f>
        <v>385.00000000000006</v>
      </c>
      <c r="C45" s="89">
        <f>'4P 3PH rating '!C45*1.1</f>
        <v>308</v>
      </c>
      <c r="D45" s="89">
        <f>'4P 3PH rating '!D45*1.1</f>
        <v>385.00000000000006</v>
      </c>
      <c r="E45" s="89">
        <f>'4P 3PH rating '!E45*1.1</f>
        <v>308</v>
      </c>
      <c r="F45" s="89">
        <f>'4P 3PH rating '!F45*1.1</f>
        <v>385.00000000000006</v>
      </c>
      <c r="G45" s="89">
        <f>'4P 3PH rating '!G45*1.1</f>
        <v>308</v>
      </c>
      <c r="H45" s="89">
        <f>'4P 3PH rating '!H45*1.1</f>
        <v>385.00000000000006</v>
      </c>
      <c r="I45" s="89">
        <f>'4P 3PH rating '!I45*1.1</f>
        <v>308</v>
      </c>
      <c r="J45" s="118" t="s">
        <v>184</v>
      </c>
      <c r="K45" s="118" t="s">
        <v>184</v>
      </c>
      <c r="L45" s="118" t="s">
        <v>184</v>
      </c>
      <c r="M45" s="118" t="s">
        <v>184</v>
      </c>
      <c r="N45" s="95">
        <f>'4P 3PH rating '!N45*1.1</f>
        <v>440.00000000000006</v>
      </c>
      <c r="O45" s="95">
        <f>'4P 3PH rating '!O45*1.1</f>
        <v>352</v>
      </c>
      <c r="P45" s="95">
        <f>'4P 3PH rating '!P45*1.1</f>
        <v>462.00000000000006</v>
      </c>
      <c r="Q45" s="95">
        <f>'4P 3PH rating '!Q45*1.1</f>
        <v>369.6</v>
      </c>
      <c r="R45" s="95">
        <f>'4P 3PH rating '!R45*1.1</f>
        <v>462.00000000000006</v>
      </c>
      <c r="S45" s="95">
        <f>'4P 3PH rating '!S45*1.1</f>
        <v>369.6</v>
      </c>
      <c r="T45" s="95">
        <f>'4P 3PH rating '!T45*1.1</f>
        <v>473.00000000000006</v>
      </c>
      <c r="U45" s="95">
        <f>'4P 3PH rating '!U45*1.1</f>
        <v>378.40000000000003</v>
      </c>
    </row>
    <row r="46" spans="1:21" ht="13.5" customHeight="1" x14ac:dyDescent="0.15">
      <c r="A46" s="32" t="s">
        <v>32</v>
      </c>
      <c r="B46" s="89">
        <f>'4P 3PH rating '!B46*1.1</f>
        <v>412.50000000000006</v>
      </c>
      <c r="C46" s="89">
        <f>'4P 3PH rating '!C46*1.1</f>
        <v>330</v>
      </c>
      <c r="D46" s="89">
        <f>'4P 3PH rating '!D46*1.1</f>
        <v>412.50000000000006</v>
      </c>
      <c r="E46" s="89">
        <f>'4P 3PH rating '!E46*1.1</f>
        <v>330</v>
      </c>
      <c r="F46" s="89">
        <f>'4P 3PH rating '!F46*1.1</f>
        <v>412.50000000000006</v>
      </c>
      <c r="G46" s="89">
        <f>'4P 3PH rating '!G46*1.1</f>
        <v>330</v>
      </c>
      <c r="H46" s="89">
        <f>'4P 3PH rating '!H46*1.1</f>
        <v>412.50000000000006</v>
      </c>
      <c r="I46" s="89">
        <f>'4P 3PH rating '!I46*1.1</f>
        <v>330</v>
      </c>
      <c r="J46" s="101">
        <f>'4P 3PH rating '!J46*1.1</f>
        <v>522.5</v>
      </c>
      <c r="K46" s="101">
        <f>'4P 3PH rating '!K46*1.1</f>
        <v>418.00000000000006</v>
      </c>
      <c r="L46" s="118" t="s">
        <v>184</v>
      </c>
      <c r="M46" s="118" t="s">
        <v>184</v>
      </c>
      <c r="N46" s="95">
        <f>'4P 3PH rating '!N46*1.1</f>
        <v>488.40000000000003</v>
      </c>
      <c r="O46" s="95">
        <f>'4P 3PH rating '!O46*1.1</f>
        <v>390.72000000000008</v>
      </c>
      <c r="P46" s="95">
        <f>'4P 3PH rating '!P46*1.1</f>
        <v>500.50000000000006</v>
      </c>
      <c r="Q46" s="95">
        <f>'4P 3PH rating '!Q46*1.1</f>
        <v>400.40000000000003</v>
      </c>
      <c r="R46" s="95">
        <f>'4P 3PH rating '!R46*1.1</f>
        <v>509.30000000000007</v>
      </c>
      <c r="S46" s="95">
        <f>'4P 3PH rating '!S46*1.1</f>
        <v>407.44000000000005</v>
      </c>
      <c r="T46" s="95">
        <f>'4P 3PH rating '!T46*1.1</f>
        <v>522.5</v>
      </c>
      <c r="U46" s="95">
        <f>'4P 3PH rating '!U46*1.1</f>
        <v>418.00000000000006</v>
      </c>
    </row>
    <row r="47" spans="1:21" ht="13.5" customHeight="1" x14ac:dyDescent="0.15">
      <c r="A47" s="32" t="s">
        <v>28</v>
      </c>
      <c r="B47" s="89">
        <f>'4P 3PH rating '!B47*1.1</f>
        <v>440.00000000000006</v>
      </c>
      <c r="C47" s="89">
        <f>'4P 3PH rating '!C47*1.1</f>
        <v>352</v>
      </c>
      <c r="D47" s="89">
        <f>'4P 3PH rating '!D47*1.1</f>
        <v>440.00000000000006</v>
      </c>
      <c r="E47" s="89">
        <f>'4P 3PH rating '!E47*1.1</f>
        <v>352</v>
      </c>
      <c r="F47" s="89">
        <f>'4P 3PH rating '!F47*1.1</f>
        <v>440.00000000000006</v>
      </c>
      <c r="G47" s="89">
        <f>'4P 3PH rating '!G47*1.1</f>
        <v>352</v>
      </c>
      <c r="H47" s="89">
        <f>'4P 3PH rating '!H47*1.1</f>
        <v>440.00000000000006</v>
      </c>
      <c r="I47" s="89">
        <f>'4P 3PH rating '!I47*1.1</f>
        <v>352</v>
      </c>
      <c r="J47" s="101">
        <f>'4P 3PH rating '!J47*1.1</f>
        <v>550</v>
      </c>
      <c r="K47" s="101">
        <f>'4P 3PH rating '!K47*1.1</f>
        <v>440.00000000000006</v>
      </c>
      <c r="L47" s="118" t="s">
        <v>184</v>
      </c>
      <c r="M47" s="118" t="s">
        <v>184</v>
      </c>
      <c r="N47" s="95">
        <f>'4P 3PH rating '!N47*1.1</f>
        <v>499.40000000000003</v>
      </c>
      <c r="O47" s="95">
        <f>'4P 3PH rating '!O47*1.1</f>
        <v>399.5200000000001</v>
      </c>
      <c r="P47" s="95">
        <f>'4P 3PH rating '!P47*1.1</f>
        <v>528</v>
      </c>
      <c r="Q47" s="95">
        <f>'4P 3PH rating '!Q47*1.1</f>
        <v>422.40000000000003</v>
      </c>
      <c r="R47" s="95">
        <f>'4P 3PH rating '!R47*1.1</f>
        <v>550</v>
      </c>
      <c r="S47" s="95">
        <f>'4P 3PH rating '!S47*1.1</f>
        <v>440.00000000000006</v>
      </c>
      <c r="T47" s="95">
        <f>'4P 3PH rating '!T47*1.1</f>
        <v>550</v>
      </c>
      <c r="U47" s="95">
        <f>'4P 3PH rating '!U47*1.1</f>
        <v>440.00000000000006</v>
      </c>
    </row>
    <row r="48" spans="1:21" ht="13.5" customHeight="1" x14ac:dyDescent="0.15">
      <c r="A48" s="32"/>
      <c r="B48" s="29"/>
      <c r="C48" s="29"/>
      <c r="D48" s="29"/>
      <c r="E48" s="89"/>
      <c r="F48" s="89"/>
      <c r="G48" s="89"/>
      <c r="H48" s="89"/>
      <c r="I48" s="89"/>
      <c r="J48" s="101"/>
      <c r="K48" s="101"/>
      <c r="L48" s="101"/>
      <c r="M48" s="101"/>
      <c r="N48" s="95"/>
      <c r="O48" s="95"/>
      <c r="P48" s="95"/>
      <c r="Q48" s="95"/>
      <c r="R48" s="95"/>
      <c r="S48" s="95"/>
      <c r="T48" s="95"/>
      <c r="U48" s="95"/>
    </row>
    <row r="49" spans="1:21" ht="13.5" customHeight="1" x14ac:dyDescent="0.15">
      <c r="A49" s="32" t="s">
        <v>33</v>
      </c>
      <c r="B49" s="89">
        <f>'4P 3PH rating '!B49*1.1</f>
        <v>495.00000000000006</v>
      </c>
      <c r="C49" s="89">
        <f>'4P 3PH rating '!C49*1.1</f>
        <v>396.00000000000006</v>
      </c>
      <c r="D49" s="89">
        <f>'4P 3PH rating '!D49*1.1</f>
        <v>495.00000000000006</v>
      </c>
      <c r="E49" s="89">
        <f>'4P 3PH rating '!E49*1.1</f>
        <v>396.00000000000006</v>
      </c>
      <c r="F49" s="89">
        <f>'4P 3PH rating '!F49*1.1</f>
        <v>495.00000000000006</v>
      </c>
      <c r="G49" s="89">
        <f>'4P 3PH rating '!G49*1.1</f>
        <v>396.00000000000006</v>
      </c>
      <c r="H49" s="89">
        <f>'4P 3PH rating '!H49*1.1</f>
        <v>495.00000000000006</v>
      </c>
      <c r="I49" s="89">
        <f>'4P 3PH rating '!I49*1.1</f>
        <v>396.00000000000006</v>
      </c>
      <c r="J49" s="101">
        <f>'4P 3PH rating '!J49*1.1</f>
        <v>550</v>
      </c>
      <c r="K49" s="101">
        <f>'4P 3PH rating '!K49*1.1</f>
        <v>440.00000000000006</v>
      </c>
      <c r="L49" s="101">
        <f>'4P 3PH rating '!L49*1.1</f>
        <v>550</v>
      </c>
      <c r="M49" s="101">
        <f>'4P 3PH rating '!M49*1.1</f>
        <v>440.00000000000006</v>
      </c>
      <c r="N49" s="95">
        <f>'4P 3PH rating '!N49*1.1</f>
        <v>577.5</v>
      </c>
      <c r="O49" s="95">
        <f>'4P 3PH rating '!O49*1.1</f>
        <v>462.00000000000006</v>
      </c>
      <c r="P49" s="95">
        <f>'4P 3PH rating '!P49*1.1</f>
        <v>605</v>
      </c>
      <c r="Q49" s="95">
        <f>'4P 3PH rating '!Q49*1.1</f>
        <v>484.00000000000006</v>
      </c>
      <c r="R49" s="95">
        <f>'4P 3PH rating '!R49*1.1</f>
        <v>639.1</v>
      </c>
      <c r="S49" s="95">
        <f>'4P 3PH rating '!S49*1.1</f>
        <v>511.28000000000003</v>
      </c>
      <c r="T49" s="95">
        <f>'4P 3PH rating '!T49*1.1</f>
        <v>653.40000000000009</v>
      </c>
      <c r="U49" s="95">
        <f>'4P 3PH rating '!U49*1.1</f>
        <v>522.72000000000014</v>
      </c>
    </row>
    <row r="50" spans="1:21" ht="13.5" customHeight="1" x14ac:dyDescent="0.15">
      <c r="A50" s="32" t="s">
        <v>34</v>
      </c>
      <c r="B50" s="89">
        <f>'4P 3PH rating '!B50*1.1</f>
        <v>550</v>
      </c>
      <c r="C50" s="89">
        <f>'4P 3PH rating '!C50*1.1</f>
        <v>440.00000000000006</v>
      </c>
      <c r="D50" s="89">
        <f>'4P 3PH rating '!D50*1.1</f>
        <v>550</v>
      </c>
      <c r="E50" s="89">
        <f>'4P 3PH rating '!E50*1.1</f>
        <v>440.00000000000006</v>
      </c>
      <c r="F50" s="89">
        <f>'4P 3PH rating '!F50*1.1</f>
        <v>550</v>
      </c>
      <c r="G50" s="89">
        <f>'4P 3PH rating '!G50*1.1</f>
        <v>440.00000000000006</v>
      </c>
      <c r="H50" s="89">
        <f>'4P 3PH rating '!H50*1.1</f>
        <v>550</v>
      </c>
      <c r="I50" s="89">
        <f>'4P 3PH rating '!I50*1.1</f>
        <v>440.00000000000006</v>
      </c>
      <c r="J50" s="101">
        <f>'4P 3PH rating '!J50*1.1</f>
        <v>687.5</v>
      </c>
      <c r="K50" s="101">
        <f>'4P 3PH rating '!K50*1.1</f>
        <v>550</v>
      </c>
      <c r="L50" s="101">
        <f>'4P 3PH rating '!L50*1.1</f>
        <v>687.5</v>
      </c>
      <c r="M50" s="101">
        <f>'4P 3PH rating '!M50*1.1</f>
        <v>550</v>
      </c>
      <c r="N50" s="95">
        <f>'4P 3PH rating '!N50*1.1</f>
        <v>632.5</v>
      </c>
      <c r="O50" s="95">
        <f>'4P 3PH rating '!O50*1.1</f>
        <v>506.00000000000006</v>
      </c>
      <c r="P50" s="95">
        <f>'4P 3PH rating '!P50*1.1</f>
        <v>653.40000000000009</v>
      </c>
      <c r="Q50" s="95">
        <f>'4P 3PH rating '!Q50*1.1</f>
        <v>522.72000000000014</v>
      </c>
      <c r="R50" s="95">
        <f>'4P 3PH rating '!R50*1.1</f>
        <v>687.5</v>
      </c>
      <c r="S50" s="95">
        <f>'4P 3PH rating '!S50*1.1</f>
        <v>550</v>
      </c>
      <c r="T50" s="95">
        <f>'4P 3PH rating '!T50*1.1</f>
        <v>708.40000000000009</v>
      </c>
      <c r="U50" s="95">
        <f>'4P 3PH rating '!U50*1.1</f>
        <v>566.72000000000014</v>
      </c>
    </row>
    <row r="51" spans="1:21" ht="13.5" customHeight="1" x14ac:dyDescent="0.15">
      <c r="A51" s="32" t="s">
        <v>35</v>
      </c>
      <c r="B51" s="89">
        <f>'4P 3PH rating '!B51*1.1</f>
        <v>619.30000000000007</v>
      </c>
      <c r="C51" s="89">
        <f>'4P 3PH rating '!C51*1.1</f>
        <v>495.44000000000005</v>
      </c>
      <c r="D51" s="89">
        <f>'4P 3PH rating '!D51*1.1</f>
        <v>619.30000000000007</v>
      </c>
      <c r="E51" s="89">
        <f>'4P 3PH rating '!E51*1.1</f>
        <v>495.00000000000006</v>
      </c>
      <c r="F51" s="89">
        <f>'4P 3PH rating '!F51*1.1</f>
        <v>619.30000000000007</v>
      </c>
      <c r="G51" s="89">
        <f>'4P 3PH rating '!G51*1.1</f>
        <v>495.00000000000006</v>
      </c>
      <c r="H51" s="89">
        <f>'4P 3PH rating '!H51*1.1</f>
        <v>619.30000000000007</v>
      </c>
      <c r="I51" s="89">
        <f>'4P 3PH rating '!I51*1.1</f>
        <v>495.44000000000005</v>
      </c>
      <c r="J51" s="101">
        <f>'4P 3PH rating '!J51*1.1</f>
        <v>715.00000000000011</v>
      </c>
      <c r="K51" s="101">
        <f>'4P 3PH rating '!K51*1.1</f>
        <v>572</v>
      </c>
      <c r="L51" s="101">
        <f>'4P 3PH rating '!L51*1.1</f>
        <v>715.00000000000011</v>
      </c>
      <c r="M51" s="101">
        <f>'4P 3PH rating '!M51*1.1</f>
        <v>572</v>
      </c>
      <c r="N51" s="95">
        <f>'4P 3PH rating '!N51*1.1</f>
        <v>687.5</v>
      </c>
      <c r="O51" s="95">
        <f>'4P 3PH rating '!O51*1.1</f>
        <v>550</v>
      </c>
      <c r="P51" s="95">
        <f>'4P 3PH rating '!P51*1.1</f>
        <v>715.00000000000011</v>
      </c>
      <c r="Q51" s="95">
        <f>'4P 3PH rating '!Q51*1.1</f>
        <v>572</v>
      </c>
      <c r="R51" s="95">
        <f>'4P 3PH rating '!R51*1.1</f>
        <v>737.00000000000011</v>
      </c>
      <c r="S51" s="95">
        <f>'4P 3PH rating '!S51*1.1</f>
        <v>589.6</v>
      </c>
      <c r="T51" s="95">
        <f>'4P 3PH rating '!T51*1.1</f>
        <v>770.00000000000011</v>
      </c>
      <c r="U51" s="95">
        <f>'4P 3PH rating '!U51*1.1</f>
        <v>616</v>
      </c>
    </row>
    <row r="52" spans="1:21" ht="13.5" customHeight="1" x14ac:dyDescent="0.15">
      <c r="A52" s="32" t="s">
        <v>36</v>
      </c>
      <c r="B52" s="89">
        <f>'4P 3PH rating '!B52*1.1</f>
        <v>660</v>
      </c>
      <c r="C52" s="89">
        <f>'4P 3PH rating '!C52*1.1</f>
        <v>528</v>
      </c>
      <c r="D52" s="89">
        <f>'4P 3PH rating '!D52*1.1</f>
        <v>660</v>
      </c>
      <c r="E52" s="89">
        <f>'4P 3PH rating '!E52*1.1</f>
        <v>528</v>
      </c>
      <c r="F52" s="89">
        <f>'4P 3PH rating '!F52*1.1</f>
        <v>660</v>
      </c>
      <c r="G52" s="89">
        <f>'4P 3PH rating '!G52*1.1</f>
        <v>528</v>
      </c>
      <c r="H52" s="89">
        <f>'4P 3PH rating '!H52*1.1</f>
        <v>660</v>
      </c>
      <c r="I52" s="89">
        <f>'4P 3PH rating '!I52*1.1</f>
        <v>528</v>
      </c>
      <c r="J52" s="101">
        <f>'4P 3PH rating '!J52*1.1</f>
        <v>756.25000000000011</v>
      </c>
      <c r="K52" s="101">
        <f>'4P 3PH rating '!K52*1.1</f>
        <v>605</v>
      </c>
      <c r="L52" s="101">
        <f>'4P 3PH rating '!L52*1.1</f>
        <v>756.80000000000007</v>
      </c>
      <c r="M52" s="101">
        <f>'4P 3PH rating '!M52*1.1</f>
        <v>605.44000000000005</v>
      </c>
      <c r="N52" s="95">
        <f>'4P 3PH rating '!N52*1.1</f>
        <v>749.1</v>
      </c>
      <c r="O52" s="95">
        <f>'4P 3PH rating '!O52*1.1</f>
        <v>599.28000000000009</v>
      </c>
      <c r="P52" s="95">
        <f>'4P 3PH rating '!P52*1.1</f>
        <v>784.30000000000007</v>
      </c>
      <c r="Q52" s="95">
        <f>'4P 3PH rating '!Q52*1.1</f>
        <v>627.44000000000005</v>
      </c>
      <c r="R52" s="95">
        <f>'4P 3PH rating '!R52*1.1</f>
        <v>805.2</v>
      </c>
      <c r="S52" s="95">
        <f>'4P 3PH rating '!S52*1.1</f>
        <v>644.16000000000008</v>
      </c>
      <c r="T52" s="95">
        <f>'4P 3PH rating '!T52*1.1</f>
        <v>825.00000000000011</v>
      </c>
      <c r="U52" s="95">
        <f>'4P 3PH rating '!U52*1.1</f>
        <v>660</v>
      </c>
    </row>
    <row r="53" spans="1:21" ht="13.5" customHeight="1" x14ac:dyDescent="0.15">
      <c r="A53" s="32" t="s">
        <v>47</v>
      </c>
      <c r="B53" s="89">
        <f>'4P 3PH rating '!B53*1.1</f>
        <v>687.5</v>
      </c>
      <c r="C53" s="89">
        <f>'4P 3PH rating '!C53*1.1</f>
        <v>550</v>
      </c>
      <c r="D53" s="89">
        <f>'4P 3PH rating '!D53*1.1</f>
        <v>687.5</v>
      </c>
      <c r="E53" s="89">
        <f>'4P 3PH rating '!E53*1.1</f>
        <v>550</v>
      </c>
      <c r="F53" s="89">
        <f>'4P 3PH rating '!F53*1.1</f>
        <v>687.5</v>
      </c>
      <c r="G53" s="89">
        <f>'4P 3PH rating '!G53*1.1</f>
        <v>550</v>
      </c>
      <c r="H53" s="89">
        <f>'4P 3PH rating '!H53*1.1</f>
        <v>687.5</v>
      </c>
      <c r="I53" s="89">
        <f>'4P 3PH rating '!I53*1.1</f>
        <v>550</v>
      </c>
      <c r="J53" s="101">
        <f>'4P 3PH rating '!J53*1.1</f>
        <v>781.00000000000011</v>
      </c>
      <c r="K53" s="101">
        <f>'4P 3PH rating '!K53*1.1</f>
        <v>624.80000000000007</v>
      </c>
      <c r="L53" s="101">
        <f>'4P 3PH rating '!L53*1.1</f>
        <v>781.00000000000011</v>
      </c>
      <c r="M53" s="101">
        <f>'4P 3PH rating '!M53*1.1</f>
        <v>624.80000000000007</v>
      </c>
      <c r="N53" s="95">
        <f>'4P 3PH rating '!N53*1.1</f>
        <v>770.00000000000011</v>
      </c>
      <c r="O53" s="95">
        <f>'4P 3PH rating '!O53*1.1</f>
        <v>616</v>
      </c>
      <c r="P53" s="95">
        <f>'4P 3PH rating '!P53*1.1</f>
        <v>808.50000000000011</v>
      </c>
      <c r="Q53" s="95">
        <f>'4P 3PH rating '!Q53*1.1</f>
        <v>646.80000000000007</v>
      </c>
      <c r="R53" s="95">
        <f>'4P 3PH rating '!R53*1.1</f>
        <v>830.50000000000011</v>
      </c>
      <c r="S53" s="95">
        <f>'4P 3PH rating '!S53*1.1</f>
        <v>664.40000000000009</v>
      </c>
      <c r="T53" s="95">
        <f>'4P 3PH rating '!T53*1.1</f>
        <v>841.50000000000011</v>
      </c>
      <c r="U53" s="95">
        <f>'4P 3PH rating '!U53*1.1</f>
        <v>673.2</v>
      </c>
    </row>
    <row r="54" spans="1:21" x14ac:dyDescent="0.15">
      <c r="A54" s="32" t="s">
        <v>37</v>
      </c>
      <c r="B54" s="89">
        <f>'4P 3PH rating '!B54*1.1</f>
        <v>737.00000000000011</v>
      </c>
      <c r="C54" s="89">
        <f>'4P 3PH rating '!C54*1.1</f>
        <v>589.6</v>
      </c>
      <c r="D54" s="89">
        <f>'4P 3PH rating '!D54*1.1</f>
        <v>737.00000000000011</v>
      </c>
      <c r="E54" s="89">
        <f>'4P 3PH rating '!E54*1.1</f>
        <v>589.6</v>
      </c>
      <c r="F54" s="89">
        <f>'4P 3PH rating '!F54*1.1</f>
        <v>737.00000000000011</v>
      </c>
      <c r="G54" s="89">
        <f>'4P 3PH rating '!G54*1.1</f>
        <v>589.6</v>
      </c>
      <c r="H54" s="89">
        <f>'4P 3PH rating '!H54*1.1</f>
        <v>715.00000000000011</v>
      </c>
      <c r="I54" s="89">
        <f>'4P 3PH rating '!I54*1.1</f>
        <v>572</v>
      </c>
      <c r="J54" s="101">
        <f>'4P 3PH rating '!J54*1.1</f>
        <v>880.00000000000011</v>
      </c>
      <c r="K54" s="101">
        <f>'4P 3PH rating '!K54*1.1</f>
        <v>704</v>
      </c>
      <c r="L54" s="101">
        <f>'4P 3PH rating '!L54*1.1</f>
        <v>880.00000000000011</v>
      </c>
      <c r="M54" s="101">
        <f>'4P 3PH rating '!M54*1.1</f>
        <v>704</v>
      </c>
      <c r="N54" s="95">
        <f>'4P 3PH rating '!N54*1.1</f>
        <v>811.80000000000007</v>
      </c>
      <c r="O54" s="95">
        <f>'4P 3PH rating '!O54*1.1</f>
        <v>649.44000000000005</v>
      </c>
      <c r="P54" s="95">
        <f>'4P 3PH rating '!P54*1.1</f>
        <v>852.50000000000011</v>
      </c>
      <c r="Q54" s="95">
        <f>'4P 3PH rating '!Q54*1.1</f>
        <v>682</v>
      </c>
      <c r="R54" s="95">
        <f>'4P 3PH rating '!R54*1.1</f>
        <v>880.00000000000011</v>
      </c>
      <c r="S54" s="95">
        <f>'4P 3PH rating '!S54*1.1</f>
        <v>704</v>
      </c>
      <c r="T54" s="95">
        <f>'4P 3PH rating '!T54*1.1</f>
        <v>907.50000000000011</v>
      </c>
      <c r="U54" s="95">
        <f>'4P 3PH rating '!U54*1.1</f>
        <v>726.00000000000011</v>
      </c>
    </row>
    <row r="55" spans="1:21" x14ac:dyDescent="0.15">
      <c r="A55" s="1"/>
      <c r="B55" s="9"/>
      <c r="C55" s="10"/>
      <c r="D55" s="11"/>
      <c r="E55" s="10"/>
      <c r="F55" s="11"/>
      <c r="G55" s="12"/>
      <c r="H55" s="10"/>
      <c r="I55" s="10"/>
      <c r="J55" s="13"/>
      <c r="K55" s="10"/>
      <c r="L55" s="10"/>
      <c r="M55" s="10"/>
      <c r="N55" s="14"/>
      <c r="O55" s="14"/>
      <c r="P55" s="14"/>
      <c r="Q55" s="14"/>
      <c r="R55" s="14"/>
      <c r="S55" s="14"/>
      <c r="T55" s="14"/>
      <c r="U55" s="15"/>
    </row>
    <row r="56" spans="1:21" x14ac:dyDescent="0.15">
      <c r="A56" s="24" t="s">
        <v>68</v>
      </c>
      <c r="B56" s="139" t="s">
        <v>66</v>
      </c>
      <c r="C56" s="140"/>
      <c r="D56" s="140"/>
      <c r="E56" s="140"/>
      <c r="F56" s="140"/>
      <c r="G56" s="140"/>
      <c r="H56" s="140"/>
      <c r="I56" s="141"/>
      <c r="J56" s="135" t="s">
        <v>67</v>
      </c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6"/>
    </row>
    <row r="57" spans="1:21" x14ac:dyDescent="0.15">
      <c r="A57" s="24" t="s">
        <v>58</v>
      </c>
      <c r="B57" s="128">
        <v>0.8</v>
      </c>
      <c r="C57" s="129"/>
      <c r="D57" s="128">
        <v>0.8</v>
      </c>
      <c r="E57" s="129"/>
      <c r="F57" s="128">
        <v>0.8</v>
      </c>
      <c r="G57" s="129"/>
      <c r="H57" s="128">
        <v>0.8</v>
      </c>
      <c r="I57" s="129"/>
      <c r="J57" s="130">
        <v>0.8</v>
      </c>
      <c r="K57" s="131"/>
      <c r="L57" s="20">
        <v>0.8</v>
      </c>
      <c r="M57" s="21"/>
      <c r="N57" s="20">
        <v>0.8</v>
      </c>
      <c r="O57" s="21"/>
      <c r="P57" s="130">
        <v>0.8</v>
      </c>
      <c r="Q57" s="131"/>
      <c r="R57" s="130">
        <v>0.8</v>
      </c>
      <c r="S57" s="131"/>
      <c r="T57" s="130">
        <v>0.8</v>
      </c>
      <c r="U57" s="131"/>
    </row>
    <row r="58" spans="1:21" x14ac:dyDescent="0.15">
      <c r="A58" s="24" t="s">
        <v>59</v>
      </c>
      <c r="B58" s="17"/>
      <c r="C58" s="18"/>
      <c r="D58" s="17"/>
      <c r="E58" s="18"/>
      <c r="F58" s="17"/>
      <c r="G58" s="18"/>
      <c r="H58" s="53"/>
      <c r="I58" s="53"/>
      <c r="J58" s="20"/>
      <c r="K58" s="21"/>
      <c r="L58" s="20"/>
      <c r="M58" s="21"/>
      <c r="N58" s="20"/>
      <c r="O58" s="21"/>
      <c r="P58" s="20"/>
      <c r="Q58" s="21"/>
      <c r="R58" s="20"/>
      <c r="S58" s="21"/>
      <c r="T58" s="20"/>
      <c r="U58" s="21"/>
    </row>
    <row r="59" spans="1:21" x14ac:dyDescent="0.15">
      <c r="A59" s="24" t="s">
        <v>104</v>
      </c>
      <c r="B59" s="128">
        <v>380</v>
      </c>
      <c r="C59" s="129"/>
      <c r="D59" s="137">
        <v>400</v>
      </c>
      <c r="E59" s="137"/>
      <c r="F59" s="128">
        <v>415</v>
      </c>
      <c r="G59" s="129"/>
      <c r="H59" s="128">
        <v>440</v>
      </c>
      <c r="I59" s="129"/>
      <c r="J59" s="130" t="s">
        <v>48</v>
      </c>
      <c r="K59" s="131"/>
      <c r="L59" s="20"/>
      <c r="M59" s="21"/>
      <c r="N59" s="54">
        <v>416</v>
      </c>
      <c r="O59" s="52"/>
      <c r="P59" s="130">
        <v>440</v>
      </c>
      <c r="Q59" s="131"/>
      <c r="R59" s="130">
        <v>460</v>
      </c>
      <c r="S59" s="131"/>
      <c r="T59" s="130">
        <v>480</v>
      </c>
      <c r="U59" s="131"/>
    </row>
    <row r="60" spans="1:21" x14ac:dyDescent="0.15">
      <c r="A60" s="24" t="s">
        <v>105</v>
      </c>
      <c r="B60" s="128">
        <v>220</v>
      </c>
      <c r="C60" s="129"/>
      <c r="D60" s="128">
        <v>230</v>
      </c>
      <c r="E60" s="129"/>
      <c r="F60" s="128">
        <v>240</v>
      </c>
      <c r="G60" s="129"/>
      <c r="H60" s="128">
        <v>254</v>
      </c>
      <c r="I60" s="129"/>
      <c r="J60" s="130" t="s">
        <v>50</v>
      </c>
      <c r="K60" s="131"/>
      <c r="L60" s="20"/>
      <c r="M60" s="21"/>
      <c r="N60" s="54">
        <v>240</v>
      </c>
      <c r="O60" s="52"/>
      <c r="P60" s="126">
        <v>254</v>
      </c>
      <c r="Q60" s="127"/>
      <c r="R60" s="126">
        <v>266</v>
      </c>
      <c r="S60" s="127"/>
      <c r="T60" s="126">
        <v>277</v>
      </c>
      <c r="U60" s="127"/>
    </row>
    <row r="61" spans="1:21" x14ac:dyDescent="0.15">
      <c r="A61" s="24" t="s">
        <v>106</v>
      </c>
      <c r="B61" s="128">
        <v>380</v>
      </c>
      <c r="C61" s="129"/>
      <c r="D61" s="137">
        <v>400</v>
      </c>
      <c r="E61" s="137"/>
      <c r="F61" s="128">
        <v>415</v>
      </c>
      <c r="G61" s="129"/>
      <c r="H61" s="128">
        <v>440</v>
      </c>
      <c r="I61" s="129"/>
      <c r="J61" s="135" t="s">
        <v>53</v>
      </c>
      <c r="K61" s="136"/>
      <c r="L61" s="130" t="s">
        <v>48</v>
      </c>
      <c r="M61" s="131"/>
      <c r="N61" s="54">
        <v>416</v>
      </c>
      <c r="O61" s="52"/>
      <c r="P61" s="130">
        <v>440</v>
      </c>
      <c r="Q61" s="131"/>
      <c r="R61" s="130">
        <v>460</v>
      </c>
      <c r="S61" s="131"/>
      <c r="T61" s="130">
        <v>480</v>
      </c>
      <c r="U61" s="131"/>
    </row>
    <row r="62" spans="1:21" x14ac:dyDescent="0.15">
      <c r="A62" s="24" t="s">
        <v>107</v>
      </c>
      <c r="B62" s="128">
        <v>190</v>
      </c>
      <c r="C62" s="129"/>
      <c r="D62" s="128">
        <v>200</v>
      </c>
      <c r="E62" s="129"/>
      <c r="F62" s="128">
        <v>208</v>
      </c>
      <c r="G62" s="129"/>
      <c r="H62" s="128">
        <v>220</v>
      </c>
      <c r="I62" s="129"/>
      <c r="J62" s="130" t="s">
        <v>53</v>
      </c>
      <c r="K62" s="131"/>
      <c r="L62" s="130" t="s">
        <v>49</v>
      </c>
      <c r="M62" s="131"/>
      <c r="N62" s="126">
        <v>208</v>
      </c>
      <c r="O62" s="127"/>
      <c r="P62" s="126">
        <v>220</v>
      </c>
      <c r="Q62" s="127"/>
      <c r="R62" s="126">
        <v>230</v>
      </c>
      <c r="S62" s="127"/>
      <c r="T62" s="126">
        <v>240</v>
      </c>
      <c r="U62" s="127"/>
    </row>
    <row r="63" spans="1:21" x14ac:dyDescent="0.15">
      <c r="A63" s="25" t="s">
        <v>62</v>
      </c>
      <c r="B63" s="128">
        <v>220</v>
      </c>
      <c r="C63" s="129"/>
      <c r="D63" s="128">
        <v>230</v>
      </c>
      <c r="E63" s="129"/>
      <c r="F63" s="128">
        <v>240</v>
      </c>
      <c r="G63" s="129"/>
      <c r="H63" s="128">
        <v>254</v>
      </c>
      <c r="I63" s="129"/>
      <c r="J63" s="135" t="s">
        <v>53</v>
      </c>
      <c r="K63" s="136"/>
      <c r="L63" s="130" t="s">
        <v>50</v>
      </c>
      <c r="M63" s="131"/>
      <c r="N63" s="54">
        <v>240</v>
      </c>
      <c r="O63" s="52"/>
      <c r="P63" s="126">
        <v>254</v>
      </c>
      <c r="Q63" s="127"/>
      <c r="R63" s="126">
        <v>266</v>
      </c>
      <c r="S63" s="127"/>
      <c r="T63" s="126">
        <v>277</v>
      </c>
      <c r="U63" s="127"/>
    </row>
    <row r="64" spans="1:21" x14ac:dyDescent="0.15">
      <c r="A64" s="25" t="s">
        <v>63</v>
      </c>
      <c r="B64" s="128" t="s">
        <v>55</v>
      </c>
      <c r="C64" s="129"/>
      <c r="D64" s="128" t="s">
        <v>55</v>
      </c>
      <c r="E64" s="129"/>
      <c r="F64" s="128" t="s">
        <v>55</v>
      </c>
      <c r="G64" s="129"/>
      <c r="H64" s="128" t="s">
        <v>55</v>
      </c>
      <c r="I64" s="129"/>
      <c r="J64" s="130">
        <v>13</v>
      </c>
      <c r="K64" s="131"/>
      <c r="L64" s="20">
        <v>14</v>
      </c>
      <c r="M64" s="21"/>
      <c r="N64" s="54" t="s">
        <v>55</v>
      </c>
      <c r="O64" s="52"/>
      <c r="P64" s="126" t="s">
        <v>55</v>
      </c>
      <c r="Q64" s="127"/>
      <c r="R64" s="126" t="s">
        <v>55</v>
      </c>
      <c r="S64" s="127"/>
      <c r="T64" s="126" t="s">
        <v>55</v>
      </c>
      <c r="U64" s="127"/>
    </row>
    <row r="65" spans="1:21" x14ac:dyDescent="0.15">
      <c r="A65" s="26" t="s">
        <v>64</v>
      </c>
      <c r="B65" s="19" t="s">
        <v>0</v>
      </c>
      <c r="C65" s="19" t="s">
        <v>1</v>
      </c>
      <c r="D65" s="19" t="s">
        <v>0</v>
      </c>
      <c r="E65" s="19" t="s">
        <v>1</v>
      </c>
      <c r="F65" s="19" t="s">
        <v>0</v>
      </c>
      <c r="G65" s="19" t="s">
        <v>1</v>
      </c>
      <c r="H65" s="19" t="s">
        <v>0</v>
      </c>
      <c r="I65" s="19" t="s">
        <v>1</v>
      </c>
      <c r="J65" s="22" t="s">
        <v>51</v>
      </c>
      <c r="K65" s="23" t="s">
        <v>52</v>
      </c>
      <c r="L65" s="22" t="s">
        <v>51</v>
      </c>
      <c r="M65" s="23" t="s">
        <v>52</v>
      </c>
      <c r="N65" s="23" t="s">
        <v>0</v>
      </c>
      <c r="O65" s="23" t="s">
        <v>1</v>
      </c>
      <c r="P65" s="23" t="s">
        <v>0</v>
      </c>
      <c r="Q65" s="23" t="s">
        <v>1</v>
      </c>
      <c r="R65" s="23" t="s">
        <v>0</v>
      </c>
      <c r="S65" s="23" t="s">
        <v>1</v>
      </c>
      <c r="T65" s="23" t="s">
        <v>0</v>
      </c>
      <c r="U65" s="23" t="s">
        <v>1</v>
      </c>
    </row>
    <row r="66" spans="1:21" x14ac:dyDescent="0.15">
      <c r="A66" s="32" t="s">
        <v>39</v>
      </c>
      <c r="B66" s="89">
        <f>'4P 3PH rating '!B66*1.1</f>
        <v>781.00000000000011</v>
      </c>
      <c r="C66" s="89">
        <f>'4P 3PH rating '!C66*1.1</f>
        <v>624.80000000000007</v>
      </c>
      <c r="D66" s="89">
        <f>'4P 3PH rating '!D66*1.1</f>
        <v>825.00000000000011</v>
      </c>
      <c r="E66" s="89">
        <f>'4P 3PH rating '!E66*1.1</f>
        <v>660</v>
      </c>
      <c r="F66" s="89">
        <f>'4P 3PH rating '!F66*1.1</f>
        <v>825.00000000000011</v>
      </c>
      <c r="G66" s="89">
        <f>'4P 3PH rating '!G66*1.1</f>
        <v>660</v>
      </c>
      <c r="H66" s="89">
        <f>'4P 3PH rating '!H66*1.1</f>
        <v>748.00000000000011</v>
      </c>
      <c r="I66" s="89">
        <f>'4P 3PH rating '!I66*1.1</f>
        <v>598.40000000000009</v>
      </c>
      <c r="J66" s="118" t="s">
        <v>184</v>
      </c>
      <c r="K66" s="118" t="s">
        <v>184</v>
      </c>
      <c r="L66" s="101">
        <f>'4P 3PH rating '!L66*1.1</f>
        <v>1031.8000000000002</v>
      </c>
      <c r="M66" s="101">
        <f>'4P 3PH rating '!M66*1.1</f>
        <v>825.00000000000011</v>
      </c>
      <c r="N66" s="95">
        <f>'4P 3PH rating '!N66*1.1</f>
        <v>891.00000000000011</v>
      </c>
      <c r="O66" s="95">
        <f>'4P 3PH rating '!O66*1.1</f>
        <v>712.80000000000007</v>
      </c>
      <c r="P66" s="95">
        <f>'4P 3PH rating '!P66*1.1</f>
        <v>940.50000000000011</v>
      </c>
      <c r="Q66" s="95">
        <f>'4P 3PH rating '!Q66*1.1</f>
        <v>752.40000000000009</v>
      </c>
      <c r="R66" s="95">
        <f>'4P 3PH rating '!R66*1.1</f>
        <v>984.50000000000011</v>
      </c>
      <c r="S66" s="95">
        <f>'4P 3PH rating '!S66*1.1</f>
        <v>787.6</v>
      </c>
      <c r="T66" s="95">
        <f>'4P 3PH rating '!T66*1.1</f>
        <v>1031.8000000000002</v>
      </c>
      <c r="U66" s="95">
        <f>'4P 3PH rating '!U66*1.1</f>
        <v>825.44000000000017</v>
      </c>
    </row>
    <row r="67" spans="1:21" x14ac:dyDescent="0.15">
      <c r="A67" s="33" t="s">
        <v>54</v>
      </c>
      <c r="B67" s="89">
        <f>'4P 3PH rating '!B67*1.1</f>
        <v>836.00000000000011</v>
      </c>
      <c r="C67" s="89">
        <f>'4P 3PH rating '!C67*1.1</f>
        <v>668.80000000000007</v>
      </c>
      <c r="D67" s="89">
        <f>'4P 3PH rating '!D67*1.1</f>
        <v>880.00000000000011</v>
      </c>
      <c r="E67" s="89">
        <f>'4P 3PH rating '!E67*1.1</f>
        <v>704</v>
      </c>
      <c r="F67" s="89">
        <f>'4P 3PH rating '!F67*1.1</f>
        <v>880.00000000000011</v>
      </c>
      <c r="G67" s="89">
        <f>'4P 3PH rating '!G67*1.1</f>
        <v>704</v>
      </c>
      <c r="H67" s="89">
        <f>'4P 3PH rating '!H67*1.1</f>
        <v>797.50000000000011</v>
      </c>
      <c r="I67" s="89">
        <f>'4P 3PH rating '!I67*1.1</f>
        <v>638</v>
      </c>
      <c r="J67" s="118" t="s">
        <v>184</v>
      </c>
      <c r="K67" s="118" t="s">
        <v>184</v>
      </c>
      <c r="L67" s="118" t="s">
        <v>184</v>
      </c>
      <c r="M67" s="118" t="s">
        <v>184</v>
      </c>
      <c r="N67" s="95">
        <f>'4P 3PH rating '!N67*1.1</f>
        <v>951.50000000000011</v>
      </c>
      <c r="O67" s="95">
        <f>'4P 3PH rating '!O67*1.1</f>
        <v>761.2</v>
      </c>
      <c r="P67" s="95">
        <f>'4P 3PH rating '!P67*1.1</f>
        <v>1007.6000000000001</v>
      </c>
      <c r="Q67" s="95">
        <f>'4P 3PH rating '!Q67*1.1</f>
        <v>806.08000000000015</v>
      </c>
      <c r="R67" s="95">
        <f>'4P 3PH rating '!R67*1.1</f>
        <v>1053.8000000000002</v>
      </c>
      <c r="S67" s="95">
        <f>'4P 3PH rating '!S67*1.1</f>
        <v>843.04000000000019</v>
      </c>
      <c r="T67" s="95">
        <f>'4P 3PH rating '!T67*1.1</f>
        <v>1100</v>
      </c>
      <c r="U67" s="95">
        <f>'4P 3PH rating '!U67*1.1</f>
        <v>880.00000000000011</v>
      </c>
    </row>
    <row r="68" spans="1:21" x14ac:dyDescent="0.15">
      <c r="A68" s="32" t="s">
        <v>40</v>
      </c>
      <c r="B68" s="89">
        <f>'4P 3PH rating '!B68*1.1</f>
        <v>951.50000000000011</v>
      </c>
      <c r="C68" s="89">
        <f>'4P 3PH rating '!C68*1.1</f>
        <v>761.2</v>
      </c>
      <c r="D68" s="89">
        <f>'4P 3PH rating '!D68*1.1</f>
        <v>1001.0000000000001</v>
      </c>
      <c r="E68" s="89">
        <f>'4P 3PH rating '!E68*1.1</f>
        <v>800.80000000000007</v>
      </c>
      <c r="F68" s="89">
        <f>'4P 3PH rating '!F68*1.1</f>
        <v>1001.0000000000001</v>
      </c>
      <c r="G68" s="89">
        <f>'4P 3PH rating '!G68*1.1</f>
        <v>800.80000000000007</v>
      </c>
      <c r="H68" s="89">
        <f>'4P 3PH rating '!H68*1.1</f>
        <v>907.50000000000011</v>
      </c>
      <c r="I68" s="89">
        <f>'4P 3PH rating '!I68*1.1</f>
        <v>726.00000000000011</v>
      </c>
      <c r="J68" s="118" t="s">
        <v>184</v>
      </c>
      <c r="K68" s="118" t="s">
        <v>184</v>
      </c>
      <c r="L68" s="101">
        <f>'4P 3PH rating '!L68*1.1</f>
        <v>1169.3000000000002</v>
      </c>
      <c r="M68" s="101">
        <f>'4P 3PH rating '!M68*1.1</f>
        <v>935.00000000000011</v>
      </c>
      <c r="N68" s="95">
        <f>'4P 3PH rating '!N68*1.1</f>
        <v>1084.6000000000001</v>
      </c>
      <c r="O68" s="95">
        <f>'4P 3PH rating '!O68*1.1</f>
        <v>867.68000000000018</v>
      </c>
      <c r="P68" s="95">
        <f>'4P 3PH rating '!P68*1.1</f>
        <v>1137.4000000000001</v>
      </c>
      <c r="Q68" s="95">
        <f>'4P 3PH rating '!Q68*1.1</f>
        <v>909.92000000000007</v>
      </c>
      <c r="R68" s="95">
        <f>'4P 3PH rating '!R68*1.1</f>
        <v>1199</v>
      </c>
      <c r="S68" s="95">
        <f>'4P 3PH rating '!S68*1.1</f>
        <v>959.2</v>
      </c>
      <c r="T68" s="95">
        <f>'4P 3PH rating '!T68*1.1</f>
        <v>1251.8000000000002</v>
      </c>
      <c r="U68" s="95">
        <f>'4P 3PH rating '!U68*1.1</f>
        <v>1001.4400000000002</v>
      </c>
    </row>
    <row r="69" spans="1:21" x14ac:dyDescent="0.15">
      <c r="A69" s="32" t="s">
        <v>41</v>
      </c>
      <c r="B69" s="89">
        <f>'4P 3PH rating '!B69*1.1</f>
        <v>1045</v>
      </c>
      <c r="C69" s="89">
        <f>'4P 3PH rating '!C69*1.1</f>
        <v>836.00000000000011</v>
      </c>
      <c r="D69" s="89">
        <f>'4P 3PH rating '!D69*1.1</f>
        <v>1100</v>
      </c>
      <c r="E69" s="89">
        <f>'4P 3PH rating '!E69*1.1</f>
        <v>880.00000000000011</v>
      </c>
      <c r="F69" s="89">
        <f>'4P 3PH rating '!F69*1.1</f>
        <v>1100</v>
      </c>
      <c r="G69" s="89">
        <f>'4P 3PH rating '!G69*1.1</f>
        <v>880.00000000000011</v>
      </c>
      <c r="H69" s="89">
        <f>'4P 3PH rating '!H69*1.1</f>
        <v>1001.0000000000001</v>
      </c>
      <c r="I69" s="89">
        <f>'4P 3PH rating '!I69*1.1</f>
        <v>800.80000000000007</v>
      </c>
      <c r="J69" s="118" t="s">
        <v>184</v>
      </c>
      <c r="K69" s="118" t="s">
        <v>184</v>
      </c>
      <c r="L69" s="101">
        <f>'4P 3PH rating '!L69*1.1</f>
        <v>1375</v>
      </c>
      <c r="M69" s="101">
        <f>'4P 3PH rating '!M69*1.1</f>
        <v>1100</v>
      </c>
      <c r="N69" s="95">
        <f>'4P 3PH rating '!N69*1.1</f>
        <v>1191.3000000000002</v>
      </c>
      <c r="O69" s="95">
        <f>'4P 3PH rating '!O69*1.1</f>
        <v>953.04000000000019</v>
      </c>
      <c r="P69" s="95">
        <f>'4P 3PH rating '!P69*1.1</f>
        <v>1259.5</v>
      </c>
      <c r="Q69" s="95">
        <f>'4P 3PH rating '!Q69*1.1</f>
        <v>1007.6000000000001</v>
      </c>
      <c r="R69" s="95">
        <f>'4P 3PH rating '!R69*1.1</f>
        <v>1316.7</v>
      </c>
      <c r="S69" s="95">
        <f>'4P 3PH rating '!S69*1.1</f>
        <v>1053.3600000000001</v>
      </c>
      <c r="T69" s="95">
        <f>'4P 3PH rating '!T69*1.1</f>
        <v>1375</v>
      </c>
      <c r="U69" s="95">
        <f>'4P 3PH rating '!U69*1.1</f>
        <v>1100</v>
      </c>
    </row>
    <row r="70" spans="1:21" x14ac:dyDescent="0.15">
      <c r="A70" s="32" t="s">
        <v>42</v>
      </c>
      <c r="B70" s="89">
        <f>'4P 3PH rating '!B70*1.1</f>
        <v>1199</v>
      </c>
      <c r="C70" s="89">
        <f>'4P 3PH rating '!C70*1.1</f>
        <v>959.2</v>
      </c>
      <c r="D70" s="89">
        <f>'4P 3PH rating '!D70*1.1</f>
        <v>1243</v>
      </c>
      <c r="E70" s="89">
        <f>'4P 3PH rating '!E70*1.1</f>
        <v>994.40000000000009</v>
      </c>
      <c r="F70" s="89">
        <f>'4P 3PH rating '!F70*1.1</f>
        <v>1243</v>
      </c>
      <c r="G70" s="89">
        <f>'4P 3PH rating '!G70*1.1</f>
        <v>994.40000000000009</v>
      </c>
      <c r="H70" s="89">
        <f>'4P 3PH rating '!H70*1.1</f>
        <v>1127.5</v>
      </c>
      <c r="I70" s="89">
        <f>'4P 3PH rating '!I70*1.1</f>
        <v>902.00000000000011</v>
      </c>
      <c r="J70" s="118" t="s">
        <v>184</v>
      </c>
      <c r="K70" s="118" t="s">
        <v>184</v>
      </c>
      <c r="L70" s="101">
        <f>'4P 3PH rating '!L70*1.1</f>
        <v>1452.0000000000002</v>
      </c>
      <c r="M70" s="101">
        <f>'4P 3PH rating '!M70*1.1</f>
        <v>1161.6000000000001</v>
      </c>
      <c r="N70" s="95">
        <f>'4P 3PH rating '!N70*1.1</f>
        <v>1324.4</v>
      </c>
      <c r="O70" s="95">
        <f>'4P 3PH rating '!O70*1.1</f>
        <v>1059.5200000000002</v>
      </c>
      <c r="P70" s="95">
        <f>'4P 3PH rating '!P70*1.1</f>
        <v>1401.4</v>
      </c>
      <c r="Q70" s="95">
        <f>'4P 3PH rating '!Q70*1.1</f>
        <v>1121.1200000000001</v>
      </c>
      <c r="R70" s="95">
        <f>'4P 3PH rating '!R70*1.1</f>
        <v>1465.2</v>
      </c>
      <c r="S70" s="95">
        <f>'4P 3PH rating '!S70*1.1</f>
        <v>1172.1600000000003</v>
      </c>
      <c r="T70" s="95">
        <f>'4P 3PH rating '!T70*1.1</f>
        <v>1529.0000000000002</v>
      </c>
      <c r="U70" s="95">
        <f>'4P 3PH rating '!U70*1.1</f>
        <v>1223.2</v>
      </c>
    </row>
    <row r="71" spans="1:21" ht="15" customHeight="1" x14ac:dyDescent="0.15">
      <c r="A71" s="32" t="s">
        <v>12</v>
      </c>
      <c r="B71" s="89">
        <f>'4P 3PH rating '!B71*1.1</f>
        <v>1309</v>
      </c>
      <c r="C71" s="89">
        <f>'4P 3PH rating '!C71*1.1</f>
        <v>1047.2</v>
      </c>
      <c r="D71" s="89">
        <f>'4P 3PH rating '!D71*1.1</f>
        <v>1375</v>
      </c>
      <c r="E71" s="89">
        <f>'4P 3PH rating '!E71*1.1</f>
        <v>1100</v>
      </c>
      <c r="F71" s="89">
        <f>'4P 3PH rating '!F71*1.1</f>
        <v>1375</v>
      </c>
      <c r="G71" s="89">
        <f>'4P 3PH rating '!G71*1.1</f>
        <v>1100</v>
      </c>
      <c r="H71" s="89">
        <f>'4P 3PH rating '!H71*1.1</f>
        <v>1248.5</v>
      </c>
      <c r="I71" s="89">
        <f>'4P 3PH rating '!I71*1.1</f>
        <v>998.80000000000007</v>
      </c>
      <c r="J71" s="101">
        <f>'4P 3PH rating '!J71*1.1</f>
        <v>1650.0000000000002</v>
      </c>
      <c r="K71" s="101">
        <f>'4P 3PH rating '!K71*1.1</f>
        <v>1320</v>
      </c>
      <c r="L71" s="118" t="s">
        <v>184</v>
      </c>
      <c r="M71" s="118" t="s">
        <v>184</v>
      </c>
      <c r="N71" s="95">
        <f>'4P 3PH rating '!N71*1.1</f>
        <v>1441.0000000000002</v>
      </c>
      <c r="O71" s="95">
        <f>'4P 3PH rating '!O71*1.1</f>
        <v>1152.8000000000002</v>
      </c>
      <c r="P71" s="95">
        <f>'4P 3PH rating '!P71*1.1</f>
        <v>1524.6000000000001</v>
      </c>
      <c r="Q71" s="95">
        <f>'4P 3PH rating '!Q71*1.1</f>
        <v>1219.68</v>
      </c>
      <c r="R71" s="95">
        <f>'4P 3PH rating '!R71*1.1</f>
        <v>1593.9</v>
      </c>
      <c r="S71" s="95">
        <f>'4P 3PH rating '!S71*1.1</f>
        <v>1275.1200000000001</v>
      </c>
      <c r="T71" s="95">
        <f>'4P 3PH rating '!T71*1.1</f>
        <v>1664.3000000000002</v>
      </c>
      <c r="U71" s="95">
        <f>'4P 3PH rating '!U71*1.1</f>
        <v>1331.4400000000003</v>
      </c>
    </row>
    <row r="72" spans="1:21" ht="19.5" customHeight="1" x14ac:dyDescent="0.15">
      <c r="A72" s="6"/>
      <c r="B72" s="6"/>
      <c r="C72" s="5"/>
      <c r="D72" s="6"/>
      <c r="E72" s="5"/>
      <c r="F72" s="6"/>
      <c r="G72" s="5"/>
      <c r="H72" s="5"/>
      <c r="I72" s="5"/>
      <c r="J72" s="5"/>
      <c r="K72" s="5"/>
      <c r="L72" s="5"/>
      <c r="M72" s="5"/>
      <c r="N72" s="4"/>
      <c r="O72" s="4"/>
      <c r="P72" s="4"/>
      <c r="Q72" s="4"/>
      <c r="R72" s="4"/>
      <c r="S72" s="4"/>
      <c r="T72" s="4"/>
      <c r="U72" s="4"/>
    </row>
    <row r="73" spans="1:21" ht="15.75" customHeight="1" x14ac:dyDescent="0.15">
      <c r="A73" s="32" t="s">
        <v>117</v>
      </c>
      <c r="B73" s="89">
        <f>'4P 3PH rating '!B73*1.1</f>
        <v>1496.0000000000002</v>
      </c>
      <c r="C73" s="89">
        <f>'4P 3PH rating '!C73*1.1</f>
        <v>1196.8000000000002</v>
      </c>
      <c r="D73" s="89">
        <f>'4P 3PH rating '!D73*1.1</f>
        <v>1540.0000000000002</v>
      </c>
      <c r="E73" s="89">
        <f>'4P 3PH rating '!E73*1.1</f>
        <v>1232</v>
      </c>
      <c r="F73" s="89">
        <f>'4P 3PH rating '!F73*1.1</f>
        <v>1540.0000000000002</v>
      </c>
      <c r="G73" s="89">
        <f>'4P 3PH rating '!G73*1.1</f>
        <v>1232</v>
      </c>
      <c r="H73" s="89">
        <f>'4P 3PH rating '!H73*1.1</f>
        <v>1512.5000000000002</v>
      </c>
      <c r="I73" s="89">
        <f>'4P 3PH rating '!I73*1.1</f>
        <v>1210</v>
      </c>
      <c r="J73" s="101">
        <f>'4P 3PH rating '!J73*1.1</f>
        <v>1716.0000000000002</v>
      </c>
      <c r="K73" s="101">
        <f>'4P 3PH rating '!K73*1.1</f>
        <v>1372.8000000000002</v>
      </c>
      <c r="L73" s="118" t="s">
        <v>184</v>
      </c>
      <c r="M73" s="118" t="s">
        <v>184</v>
      </c>
      <c r="N73" s="95">
        <f>'4P 3PH rating '!N73*1.1</f>
        <v>1677.5000000000002</v>
      </c>
      <c r="O73" s="95">
        <f>'4P 3PH rating '!O73*1.1</f>
        <v>1342</v>
      </c>
      <c r="P73" s="95">
        <f>'4P 3PH rating '!P73*1.1</f>
        <v>1787.5000000000002</v>
      </c>
      <c r="Q73" s="95">
        <f>'4P 3PH rating '!Q73*1.1</f>
        <v>1430.0000000000002</v>
      </c>
      <c r="R73" s="95">
        <f>'4P 3PH rating '!R73*1.1</f>
        <v>1820.5000000000002</v>
      </c>
      <c r="S73" s="95">
        <f>'4P 3PH rating '!S73*1.1</f>
        <v>1456.4</v>
      </c>
      <c r="T73" s="95">
        <f>'4P 3PH rating '!T73*1.1</f>
        <v>1859.0000000000002</v>
      </c>
      <c r="U73" s="95">
        <f>'4P 3PH rating '!U73*1.1</f>
        <v>1487.2</v>
      </c>
    </row>
    <row r="74" spans="1:21" ht="15.75" customHeight="1" x14ac:dyDescent="0.15">
      <c r="A74" s="32" t="s">
        <v>118</v>
      </c>
      <c r="B74" s="89">
        <f>'4P 3PH rating '!B74*1.1</f>
        <v>1655.5000000000002</v>
      </c>
      <c r="C74" s="89">
        <f>'4P 3PH rating '!C74*1.1</f>
        <v>1324.4</v>
      </c>
      <c r="D74" s="89">
        <f>'4P 3PH rating '!D74*1.1</f>
        <v>1705.0000000000002</v>
      </c>
      <c r="E74" s="89">
        <f>'4P 3PH rating '!E74*1.1</f>
        <v>1364</v>
      </c>
      <c r="F74" s="89">
        <f>'4P 3PH rating '!F74*1.1</f>
        <v>1705.0000000000002</v>
      </c>
      <c r="G74" s="89">
        <f>'4P 3PH rating '!G74*1.1</f>
        <v>1364</v>
      </c>
      <c r="H74" s="89">
        <f>'4P 3PH rating '!H74*1.1</f>
        <v>1672.0000000000002</v>
      </c>
      <c r="I74" s="89">
        <f>'4P 3PH rating '!I74*1.1</f>
        <v>1337.6000000000001</v>
      </c>
      <c r="J74" s="101">
        <f>'4P 3PH rating '!J74*1.1</f>
        <v>1947.0000000000002</v>
      </c>
      <c r="K74" s="101">
        <f>'4P 3PH rating '!K74*1.1</f>
        <v>1557.6000000000001</v>
      </c>
      <c r="L74" s="118" t="s">
        <v>184</v>
      </c>
      <c r="M74" s="118" t="s">
        <v>184</v>
      </c>
      <c r="N74" s="95">
        <f>'4P 3PH rating '!N74*1.1</f>
        <v>1875.5000000000002</v>
      </c>
      <c r="O74" s="95">
        <f>'4P 3PH rating '!O74*1.1</f>
        <v>1500.4</v>
      </c>
      <c r="P74" s="95">
        <f>'4P 3PH rating '!P74*1.1</f>
        <v>1996.5000000000002</v>
      </c>
      <c r="Q74" s="95">
        <f>'4P 3PH rating '!Q74*1.1</f>
        <v>1597.2</v>
      </c>
      <c r="R74" s="95">
        <f>'4P 3PH rating '!R74*1.1</f>
        <v>2040.5000000000002</v>
      </c>
      <c r="S74" s="95">
        <f>'4P 3PH rating '!S74*1.1</f>
        <v>1632.4</v>
      </c>
      <c r="T74" s="95">
        <f>'4P 3PH rating '!T74*1.1</f>
        <v>2079</v>
      </c>
      <c r="U74" s="95">
        <f>'4P 3PH rating '!U74*1.1</f>
        <v>1663.2</v>
      </c>
    </row>
    <row r="75" spans="1:21" ht="15.75" customHeight="1" x14ac:dyDescent="0.15">
      <c r="A75" s="32" t="s">
        <v>119</v>
      </c>
      <c r="B75" s="89">
        <f>'4P 3PH rating '!B75*1.1</f>
        <v>1776.5000000000002</v>
      </c>
      <c r="C75" s="89">
        <f>'4P 3PH rating '!C75*1.1</f>
        <v>1421.2</v>
      </c>
      <c r="D75" s="89">
        <f>'4P 3PH rating '!D75*1.1</f>
        <v>1815.0000000000002</v>
      </c>
      <c r="E75" s="89">
        <f>'4P 3PH rating '!E75*1.1</f>
        <v>1452.0000000000002</v>
      </c>
      <c r="F75" s="89">
        <f>'4P 3PH rating '!F75*1.1</f>
        <v>1815.0000000000002</v>
      </c>
      <c r="G75" s="89">
        <f>'4P 3PH rating '!G75*1.1</f>
        <v>1452.0000000000002</v>
      </c>
      <c r="H75" s="89">
        <f>'4P 3PH rating '!H75*1.1</f>
        <v>1782.0000000000002</v>
      </c>
      <c r="I75" s="89">
        <f>'4P 3PH rating '!I75*1.1</f>
        <v>1425.6000000000001</v>
      </c>
      <c r="J75" s="101">
        <f>'4P 3PH rating '!J75*1.1</f>
        <v>2106.5</v>
      </c>
      <c r="K75" s="101">
        <f>'4P 3PH rating '!K75*1.1</f>
        <v>1685.2</v>
      </c>
      <c r="L75" s="118" t="s">
        <v>184</v>
      </c>
      <c r="M75" s="118" t="s">
        <v>184</v>
      </c>
      <c r="N75" s="95">
        <f>'4P 3PH rating '!N75*1.1</f>
        <v>1996.5000000000002</v>
      </c>
      <c r="O75" s="95">
        <f>'4P 3PH rating '!O75*1.1</f>
        <v>1597.2</v>
      </c>
      <c r="P75" s="95">
        <f>'4P 3PH rating '!P75*1.1</f>
        <v>2128.5</v>
      </c>
      <c r="Q75" s="95">
        <f>'4P 3PH rating '!Q75*1.1</f>
        <v>1702.8000000000002</v>
      </c>
      <c r="R75" s="95">
        <f>'4P 3PH rating '!R75*1.1</f>
        <v>2172.5</v>
      </c>
      <c r="S75" s="95">
        <f>'4P 3PH rating '!S75*1.1</f>
        <v>1738.0000000000002</v>
      </c>
      <c r="T75" s="95">
        <f>'4P 3PH rating '!T75*1.1</f>
        <v>2216.5</v>
      </c>
      <c r="U75" s="95">
        <f>'4P 3PH rating '!U75*1.1</f>
        <v>1773.2</v>
      </c>
    </row>
    <row r="76" spans="1:21" ht="15.75" customHeight="1" x14ac:dyDescent="0.15">
      <c r="A76" s="32" t="s">
        <v>120</v>
      </c>
      <c r="B76" s="89">
        <f>'4P 3PH rating '!B76*1.1</f>
        <v>2029.5000000000002</v>
      </c>
      <c r="C76" s="89">
        <f>'4P 3PH rating '!C76*1.1</f>
        <v>1623.6000000000001</v>
      </c>
      <c r="D76" s="89">
        <f>'4P 3PH rating '!D76*1.1</f>
        <v>2090</v>
      </c>
      <c r="E76" s="89">
        <f>'4P 3PH rating '!E76*1.1</f>
        <v>1672.0000000000002</v>
      </c>
      <c r="F76" s="89">
        <f>'4P 3PH rating '!F76*1.1</f>
        <v>2090</v>
      </c>
      <c r="G76" s="89">
        <f>'4P 3PH rating '!G76*1.1</f>
        <v>1672.0000000000002</v>
      </c>
      <c r="H76" s="89">
        <f>'4P 3PH rating '!H76*1.1</f>
        <v>2051.5</v>
      </c>
      <c r="I76" s="89">
        <f>'4P 3PH rating '!I76*1.1</f>
        <v>1641.2</v>
      </c>
      <c r="J76" s="118" t="s">
        <v>184</v>
      </c>
      <c r="K76" s="118" t="s">
        <v>184</v>
      </c>
      <c r="L76" s="118" t="s">
        <v>184</v>
      </c>
      <c r="M76" s="118" t="s">
        <v>184</v>
      </c>
      <c r="N76" s="95">
        <f>'4P 3PH rating '!N76*1.1</f>
        <v>2277</v>
      </c>
      <c r="O76" s="95">
        <f>'4P 3PH rating '!O76*1.1</f>
        <v>1821.6000000000001</v>
      </c>
      <c r="P76" s="95">
        <f>'4P 3PH rating '!P76*1.1</f>
        <v>2431</v>
      </c>
      <c r="Q76" s="95">
        <f>'4P 3PH rating '!Q76*1.1</f>
        <v>1944.8000000000002</v>
      </c>
      <c r="R76" s="95">
        <f>'4P 3PH rating '!R76*1.1</f>
        <v>2475</v>
      </c>
      <c r="S76" s="95">
        <f>'4P 3PH rating '!S76*1.1</f>
        <v>1980.0000000000002</v>
      </c>
      <c r="T76" s="95">
        <f>'4P 3PH rating '!T76*1.1</f>
        <v>2530</v>
      </c>
      <c r="U76" s="95">
        <f>'4P 3PH rating '!U76*1.1</f>
        <v>2024.0000000000002</v>
      </c>
    </row>
    <row r="77" spans="1:21" ht="15.75" customHeight="1" x14ac:dyDescent="0.15">
      <c r="A77" s="32" t="s">
        <v>121</v>
      </c>
      <c r="B77" s="89">
        <f>'4P 3PH rating '!B77*1.1</f>
        <v>2222</v>
      </c>
      <c r="C77" s="89">
        <f>'4P 3PH rating '!C77*1.1</f>
        <v>1777.6000000000001</v>
      </c>
      <c r="D77" s="89">
        <f>'4P 3PH rating '!D77*1.1</f>
        <v>2288</v>
      </c>
      <c r="E77" s="89">
        <f>'4P 3PH rating '!E77*1.1</f>
        <v>1830.4</v>
      </c>
      <c r="F77" s="89">
        <f>'4P 3PH rating '!F77*1.1</f>
        <v>2288</v>
      </c>
      <c r="G77" s="89">
        <f>'4P 3PH rating '!G77*1.1</f>
        <v>1830.4</v>
      </c>
      <c r="H77" s="89">
        <f>'4P 3PH rating '!H77*1.1</f>
        <v>2244</v>
      </c>
      <c r="I77" s="89">
        <f>'4P 3PH rating '!I77*1.1</f>
        <v>1795.2</v>
      </c>
      <c r="J77" s="101">
        <f>'4P 3PH rating '!J77*1.1</f>
        <v>2750</v>
      </c>
      <c r="K77" s="101">
        <f>'4P 3PH rating '!K77*1.1</f>
        <v>2200</v>
      </c>
      <c r="L77" s="118" t="s">
        <v>184</v>
      </c>
      <c r="M77" s="118" t="s">
        <v>184</v>
      </c>
      <c r="N77" s="95">
        <f>'4P 3PH rating '!N77*1.1</f>
        <v>2579.5</v>
      </c>
      <c r="O77" s="95">
        <f>'4P 3PH rating '!O77*1.1</f>
        <v>2063.6000000000004</v>
      </c>
      <c r="P77" s="95">
        <f>'4P 3PH rating '!P77*1.1</f>
        <v>2750</v>
      </c>
      <c r="Q77" s="95">
        <f>'4P 3PH rating '!Q77*1.1</f>
        <v>2200</v>
      </c>
      <c r="R77" s="95">
        <f>'4P 3PH rating '!R77*1.1</f>
        <v>2805</v>
      </c>
      <c r="S77" s="95">
        <f>'4P 3PH rating '!S77*1.1</f>
        <v>2244</v>
      </c>
      <c r="T77" s="95">
        <f>'4P 3PH rating '!T77*1.1</f>
        <v>2860.0000000000005</v>
      </c>
      <c r="U77" s="95">
        <f>'4P 3PH rating '!U77*1.1</f>
        <v>2288</v>
      </c>
    </row>
    <row r="78" spans="1:21" ht="15.75" customHeight="1" x14ac:dyDescent="0.15">
      <c r="A78" s="32" t="s">
        <v>122</v>
      </c>
      <c r="B78" s="89">
        <f>'4P 3PH rating '!B78*1.1</f>
        <v>2348.5</v>
      </c>
      <c r="C78" s="89">
        <f>'4P 3PH rating '!C78*1.1</f>
        <v>1878.8000000000002</v>
      </c>
      <c r="D78" s="89">
        <f>'4P 3PH rating '!D78*1.1</f>
        <v>2420</v>
      </c>
      <c r="E78" s="89">
        <f>'4P 3PH rating '!E78*1.1</f>
        <v>1936.0000000000002</v>
      </c>
      <c r="F78" s="89">
        <f>'4P 3PH rating '!F78*1.1</f>
        <v>2420</v>
      </c>
      <c r="G78" s="89">
        <f>'4P 3PH rating '!G78*1.1</f>
        <v>1936.0000000000002</v>
      </c>
      <c r="H78" s="89">
        <f>'4P 3PH rating '!H78*1.1</f>
        <v>2376</v>
      </c>
      <c r="I78" s="89">
        <f>'4P 3PH rating '!I78*1.1</f>
        <v>1900.8000000000002</v>
      </c>
      <c r="J78" s="118" t="s">
        <v>184</v>
      </c>
      <c r="K78" s="118" t="s">
        <v>184</v>
      </c>
      <c r="L78" s="118" t="s">
        <v>184</v>
      </c>
      <c r="M78" s="118" t="s">
        <v>184</v>
      </c>
      <c r="N78" s="95">
        <f>'4P 3PH rating '!N78*1.1</f>
        <v>2662</v>
      </c>
      <c r="O78" s="95">
        <f>'4P 3PH rating '!O78*1.1</f>
        <v>2129.6000000000004</v>
      </c>
      <c r="P78" s="95">
        <f>'4P 3PH rating '!P78*1.1</f>
        <v>2788.5</v>
      </c>
      <c r="Q78" s="95">
        <f>'4P 3PH rating '!Q78*1.1</f>
        <v>2230.8000000000002</v>
      </c>
      <c r="R78" s="95">
        <f>'4P 3PH rating '!R78*1.1</f>
        <v>2887.5000000000005</v>
      </c>
      <c r="S78" s="95">
        <f>'4P 3PH rating '!S78*1.1</f>
        <v>2310</v>
      </c>
      <c r="T78" s="95">
        <f>'4P 3PH rating '!T78*1.1</f>
        <v>3025.0000000000005</v>
      </c>
      <c r="U78" s="95">
        <f>'4P 3PH rating '!U78*1.1</f>
        <v>2420</v>
      </c>
    </row>
    <row r="79" spans="1:21" ht="15.75" customHeight="1" x14ac:dyDescent="0.15">
      <c r="A79" s="32" t="s">
        <v>123</v>
      </c>
      <c r="B79" s="89">
        <f>'4P 3PH rating '!B79*1.1</f>
        <v>2497</v>
      </c>
      <c r="C79" s="89">
        <f>'4P 3PH rating '!C79*1.1</f>
        <v>1997.6000000000001</v>
      </c>
      <c r="D79" s="89">
        <f>'4P 3PH rating '!D79*1.1</f>
        <v>2574</v>
      </c>
      <c r="E79" s="89">
        <f>'4P 3PH rating '!E79*1.1</f>
        <v>2059.2000000000003</v>
      </c>
      <c r="F79" s="89">
        <f>'4P 3PH rating '!F79*1.1</f>
        <v>2574</v>
      </c>
      <c r="G79" s="89">
        <f>'4P 3PH rating '!G79*1.1</f>
        <v>2059.2000000000003</v>
      </c>
      <c r="H79" s="89">
        <f>'4P 3PH rating '!H79*1.1</f>
        <v>2530</v>
      </c>
      <c r="I79" s="89">
        <f>'4P 3PH rating '!I79*1.1</f>
        <v>2024.0000000000002</v>
      </c>
      <c r="J79" s="118" t="s">
        <v>184</v>
      </c>
      <c r="K79" s="118" t="s">
        <v>184</v>
      </c>
      <c r="L79" s="118" t="s">
        <v>184</v>
      </c>
      <c r="M79" s="118" t="s">
        <v>184</v>
      </c>
      <c r="N79" s="95">
        <f>'4P 3PH rating '!N79*1.1</f>
        <v>2777.5</v>
      </c>
      <c r="O79" s="95">
        <f>'4P 3PH rating '!O79*1.1</f>
        <v>2222</v>
      </c>
      <c r="P79" s="95">
        <f>'4P 3PH rating '!P79*1.1</f>
        <v>2904.0000000000005</v>
      </c>
      <c r="Q79" s="95">
        <f>'4P 3PH rating '!Q79*1.1</f>
        <v>2323.2000000000003</v>
      </c>
      <c r="R79" s="95">
        <f>'4P 3PH rating '!R79*1.1</f>
        <v>2997.5000000000005</v>
      </c>
      <c r="S79" s="95">
        <f>'4P 3PH rating '!S79*1.1</f>
        <v>2398</v>
      </c>
      <c r="T79" s="95">
        <f>'4P 3PH rating '!T79*1.1</f>
        <v>3113.0000000000005</v>
      </c>
      <c r="U79" s="95">
        <f>'4P 3PH rating '!U79*1.1</f>
        <v>2490.4</v>
      </c>
    </row>
    <row r="80" spans="1:21" ht="19.5" customHeight="1" x14ac:dyDescent="0.15">
      <c r="A80" s="69"/>
      <c r="B80" s="70"/>
      <c r="C80" s="71"/>
      <c r="D80" s="70"/>
      <c r="E80" s="71"/>
      <c r="F80" s="70"/>
      <c r="G80" s="71"/>
      <c r="H80" s="71"/>
      <c r="I80" s="71"/>
      <c r="J80" s="71"/>
      <c r="K80" s="71"/>
      <c r="L80" s="71"/>
      <c r="M80" s="71"/>
      <c r="N80" s="72"/>
      <c r="O80" s="72"/>
      <c r="P80" s="72"/>
      <c r="Q80" s="72"/>
      <c r="R80" s="72"/>
      <c r="S80" s="72"/>
      <c r="T80" s="72"/>
      <c r="U80" s="72"/>
    </row>
    <row r="81" spans="1:2" ht="19.5" customHeight="1" x14ac:dyDescent="0.15">
      <c r="B81" s="70"/>
    </row>
    <row r="82" spans="1:2" x14ac:dyDescent="0.15">
      <c r="A82" s="57" t="s">
        <v>56</v>
      </c>
    </row>
    <row r="83" spans="1:2" x14ac:dyDescent="0.15">
      <c r="A83" s="16" t="s">
        <v>75</v>
      </c>
    </row>
    <row r="84" spans="1:2" x14ac:dyDescent="0.15">
      <c r="A84" s="57" t="s">
        <v>108</v>
      </c>
    </row>
    <row r="85" spans="1:2" x14ac:dyDescent="0.15">
      <c r="A85" s="57" t="s">
        <v>188</v>
      </c>
    </row>
    <row r="86" spans="1:2" x14ac:dyDescent="0.15">
      <c r="A86" s="57" t="s">
        <v>124</v>
      </c>
    </row>
  </sheetData>
  <mergeCells count="142">
    <mergeCell ref="A1:U1"/>
    <mergeCell ref="B2:I2"/>
    <mergeCell ref="J2:U2"/>
    <mergeCell ref="B3:C3"/>
    <mergeCell ref="D3:E3"/>
    <mergeCell ref="F3:G3"/>
    <mergeCell ref="T3:U3"/>
    <mergeCell ref="P6:Q6"/>
    <mergeCell ref="R6:S6"/>
    <mergeCell ref="P3:Q3"/>
    <mergeCell ref="R3:S3"/>
    <mergeCell ref="L3:M3"/>
    <mergeCell ref="N3:O3"/>
    <mergeCell ref="N5:O5"/>
    <mergeCell ref="P5:Q5"/>
    <mergeCell ref="B5:C5"/>
    <mergeCell ref="D5:E5"/>
    <mergeCell ref="F5:G5"/>
    <mergeCell ref="H5:I5"/>
    <mergeCell ref="J5:K5"/>
    <mergeCell ref="H3:I3"/>
    <mergeCell ref="J3:K3"/>
    <mergeCell ref="P7:Q7"/>
    <mergeCell ref="R7:S7"/>
    <mergeCell ref="R5:S5"/>
    <mergeCell ref="T5:U5"/>
    <mergeCell ref="B6:C6"/>
    <mergeCell ref="D6:E6"/>
    <mergeCell ref="F6:G6"/>
    <mergeCell ref="H6:I6"/>
    <mergeCell ref="J6:K6"/>
    <mergeCell ref="N6:O6"/>
    <mergeCell ref="P8:Q8"/>
    <mergeCell ref="R8:S8"/>
    <mergeCell ref="T6:U6"/>
    <mergeCell ref="B7:C7"/>
    <mergeCell ref="D7:E7"/>
    <mergeCell ref="F7:G7"/>
    <mergeCell ref="H7:I7"/>
    <mergeCell ref="J7:K7"/>
    <mergeCell ref="L7:M7"/>
    <mergeCell ref="N7:O7"/>
    <mergeCell ref="P9:Q9"/>
    <mergeCell ref="R9:S9"/>
    <mergeCell ref="T7:U7"/>
    <mergeCell ref="B8:C8"/>
    <mergeCell ref="D8:E8"/>
    <mergeCell ref="F8:G8"/>
    <mergeCell ref="H8:I8"/>
    <mergeCell ref="J8:K8"/>
    <mergeCell ref="L8:M8"/>
    <mergeCell ref="N8:O8"/>
    <mergeCell ref="R10:S10"/>
    <mergeCell ref="T10:U10"/>
    <mergeCell ref="T8:U8"/>
    <mergeCell ref="B9:C9"/>
    <mergeCell ref="D9:E9"/>
    <mergeCell ref="F9:G9"/>
    <mergeCell ref="H9:I9"/>
    <mergeCell ref="J9:K9"/>
    <mergeCell ref="L9:M9"/>
    <mergeCell ref="N9:O9"/>
    <mergeCell ref="J11:K11"/>
    <mergeCell ref="L11:M11"/>
    <mergeCell ref="T9:U9"/>
    <mergeCell ref="B10:C10"/>
    <mergeCell ref="D10:E10"/>
    <mergeCell ref="F10:G10"/>
    <mergeCell ref="H10:I10"/>
    <mergeCell ref="L10:M10"/>
    <mergeCell ref="N10:O10"/>
    <mergeCell ref="P10:Q10"/>
    <mergeCell ref="N11:O11"/>
    <mergeCell ref="P11:Q11"/>
    <mergeCell ref="R11:S11"/>
    <mergeCell ref="T11:U11"/>
    <mergeCell ref="B56:I56"/>
    <mergeCell ref="J56:U56"/>
    <mergeCell ref="B11:C11"/>
    <mergeCell ref="D11:E11"/>
    <mergeCell ref="F11:G11"/>
    <mergeCell ref="H11:I11"/>
    <mergeCell ref="B57:C57"/>
    <mergeCell ref="D57:E57"/>
    <mergeCell ref="F57:G57"/>
    <mergeCell ref="H57:I57"/>
    <mergeCell ref="J57:K57"/>
    <mergeCell ref="P57:Q57"/>
    <mergeCell ref="R57:S57"/>
    <mergeCell ref="T57:U57"/>
    <mergeCell ref="B59:C59"/>
    <mergeCell ref="D59:E59"/>
    <mergeCell ref="F59:G59"/>
    <mergeCell ref="H59:I59"/>
    <mergeCell ref="J59:K59"/>
    <mergeCell ref="P59:Q59"/>
    <mergeCell ref="R59:S59"/>
    <mergeCell ref="T59:U59"/>
    <mergeCell ref="B60:C60"/>
    <mergeCell ref="D60:E60"/>
    <mergeCell ref="F60:G60"/>
    <mergeCell ref="H60:I60"/>
    <mergeCell ref="J60:K60"/>
    <mergeCell ref="P60:Q60"/>
    <mergeCell ref="R60:S60"/>
    <mergeCell ref="T60:U60"/>
    <mergeCell ref="B61:C61"/>
    <mergeCell ref="D61:E61"/>
    <mergeCell ref="F61:G61"/>
    <mergeCell ref="H61:I61"/>
    <mergeCell ref="J61:K61"/>
    <mergeCell ref="L61:M61"/>
    <mergeCell ref="P61:Q61"/>
    <mergeCell ref="R61:S61"/>
    <mergeCell ref="T61:U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B63:C63"/>
    <mergeCell ref="D63:E63"/>
    <mergeCell ref="F63:G63"/>
    <mergeCell ref="H63:I63"/>
    <mergeCell ref="J63:K63"/>
    <mergeCell ref="L63:M63"/>
    <mergeCell ref="P63:Q63"/>
    <mergeCell ref="R63:S63"/>
    <mergeCell ref="T63:U63"/>
    <mergeCell ref="R64:S64"/>
    <mergeCell ref="T64:U64"/>
    <mergeCell ref="B64:C64"/>
    <mergeCell ref="D64:E64"/>
    <mergeCell ref="F64:G64"/>
    <mergeCell ref="H64:I64"/>
    <mergeCell ref="J64:K64"/>
    <mergeCell ref="P64:Q64"/>
  </mergeCells>
  <phoneticPr fontId="22" type="noConversion"/>
  <pageMargins left="0.70866141732283472" right="0.70866141732283472" top="0.74803149606299213" bottom="0.74803149606299213" header="0.31496062992125984" footer="0.31496062992125984"/>
  <pageSetup paperSize="9" scale="70" fitToHeight="2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workbookViewId="0">
      <selection activeCell="I22" sqref="I22"/>
    </sheetView>
  </sheetViews>
  <sheetFormatPr defaultColWidth="9" defaultRowHeight="14.25" x14ac:dyDescent="0.15"/>
  <cols>
    <col min="1" max="1" width="22.875" customWidth="1"/>
    <col min="2" max="7" width="5.75" customWidth="1"/>
    <col min="8" max="8" width="7" customWidth="1"/>
    <col min="9" max="10" width="6.625" customWidth="1"/>
    <col min="11" max="11" width="5.5" customWidth="1"/>
    <col min="12" max="12" width="7.375" customWidth="1"/>
    <col min="13" max="13" width="6.125" customWidth="1"/>
    <col min="14" max="17" width="6.5" customWidth="1"/>
  </cols>
  <sheetData>
    <row r="1" spans="1:17" ht="24.75" customHeight="1" x14ac:dyDescent="0.15">
      <c r="A1" s="165" t="s">
        <v>178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7" ht="15" customHeight="1" x14ac:dyDescent="0.15">
      <c r="A2" s="74"/>
      <c r="B2" s="75" t="s">
        <v>181</v>
      </c>
      <c r="C2" s="76"/>
      <c r="E2" s="76"/>
      <c r="F2" s="76"/>
      <c r="G2" s="77" t="s">
        <v>126</v>
      </c>
      <c r="H2" s="76"/>
      <c r="J2" s="77" t="s">
        <v>175</v>
      </c>
      <c r="L2" s="78"/>
      <c r="N2" s="76"/>
    </row>
    <row r="3" spans="1:17" ht="15" customHeight="1" x14ac:dyDescent="0.15">
      <c r="A3" s="24" t="s">
        <v>68</v>
      </c>
      <c r="B3" s="139" t="s">
        <v>66</v>
      </c>
      <c r="C3" s="140"/>
      <c r="D3" s="140"/>
      <c r="E3" s="140"/>
      <c r="F3" s="140"/>
      <c r="G3" s="140"/>
      <c r="H3" s="140"/>
      <c r="I3" s="141"/>
      <c r="J3" s="128" t="s">
        <v>172</v>
      </c>
      <c r="K3" s="140"/>
      <c r="L3" s="140"/>
      <c r="M3" s="140"/>
      <c r="N3" s="140"/>
      <c r="O3" s="140"/>
      <c r="P3" s="140"/>
      <c r="Q3" s="141"/>
    </row>
    <row r="4" spans="1:17" ht="15" customHeight="1" x14ac:dyDescent="0.15">
      <c r="A4" s="24" t="s">
        <v>58</v>
      </c>
      <c r="B4" s="128">
        <v>0.8</v>
      </c>
      <c r="C4" s="129"/>
      <c r="D4" s="128">
        <v>0.8</v>
      </c>
      <c r="E4" s="129"/>
      <c r="F4" s="128">
        <v>0.8</v>
      </c>
      <c r="G4" s="129"/>
      <c r="H4" s="128">
        <v>0.8</v>
      </c>
      <c r="I4" s="129"/>
      <c r="J4" s="130">
        <v>0.8</v>
      </c>
      <c r="K4" s="131"/>
      <c r="L4" s="130">
        <v>0.8</v>
      </c>
      <c r="M4" s="131"/>
      <c r="N4" s="130">
        <v>0.8</v>
      </c>
      <c r="O4" s="131"/>
      <c r="P4" s="130">
        <v>0.8</v>
      </c>
      <c r="Q4" s="131"/>
    </row>
    <row r="5" spans="1:17" ht="15" customHeight="1" x14ac:dyDescent="0.15">
      <c r="A5" s="24" t="s">
        <v>59</v>
      </c>
      <c r="B5" s="17"/>
      <c r="C5" s="18"/>
      <c r="D5" s="17"/>
      <c r="E5" s="18"/>
      <c r="F5" s="17"/>
      <c r="G5" s="18"/>
      <c r="H5" s="53"/>
      <c r="I5" s="53"/>
      <c r="J5" s="20"/>
      <c r="K5" s="21"/>
      <c r="L5" s="20"/>
      <c r="M5" s="21"/>
      <c r="N5" s="20"/>
      <c r="O5" s="21"/>
      <c r="P5" s="20"/>
      <c r="Q5" s="21"/>
    </row>
    <row r="6" spans="1:17" ht="15" customHeight="1" x14ac:dyDescent="0.15">
      <c r="A6" s="24" t="s">
        <v>104</v>
      </c>
      <c r="B6" s="128">
        <v>380</v>
      </c>
      <c r="C6" s="129"/>
      <c r="D6" s="137">
        <v>400</v>
      </c>
      <c r="E6" s="137"/>
      <c r="F6" s="128">
        <v>415</v>
      </c>
      <c r="G6" s="129"/>
      <c r="H6" s="128">
        <v>440</v>
      </c>
      <c r="I6" s="129"/>
      <c r="J6" s="126">
        <v>416</v>
      </c>
      <c r="K6" s="127"/>
      <c r="L6" s="130">
        <v>440</v>
      </c>
      <c r="M6" s="131"/>
      <c r="N6" s="130">
        <v>460</v>
      </c>
      <c r="O6" s="131"/>
      <c r="P6" s="130">
        <v>480</v>
      </c>
      <c r="Q6" s="131"/>
    </row>
    <row r="7" spans="1:17" ht="15" customHeight="1" x14ac:dyDescent="0.15">
      <c r="A7" s="24" t="s">
        <v>105</v>
      </c>
      <c r="B7" s="128">
        <v>220</v>
      </c>
      <c r="C7" s="129"/>
      <c r="D7" s="128">
        <v>230</v>
      </c>
      <c r="E7" s="129"/>
      <c r="F7" s="128">
        <v>240</v>
      </c>
      <c r="G7" s="129"/>
      <c r="H7" s="128">
        <v>254</v>
      </c>
      <c r="I7" s="129"/>
      <c r="J7" s="126">
        <v>240</v>
      </c>
      <c r="K7" s="127"/>
      <c r="L7" s="126">
        <v>254</v>
      </c>
      <c r="M7" s="127"/>
      <c r="N7" s="126">
        <v>266</v>
      </c>
      <c r="O7" s="127"/>
      <c r="P7" s="126">
        <v>277</v>
      </c>
      <c r="Q7" s="127"/>
    </row>
    <row r="8" spans="1:17" ht="15" customHeight="1" x14ac:dyDescent="0.15">
      <c r="A8" s="24" t="s">
        <v>106</v>
      </c>
      <c r="B8" s="128">
        <v>380</v>
      </c>
      <c r="C8" s="129"/>
      <c r="D8" s="128">
        <v>400</v>
      </c>
      <c r="E8" s="129"/>
      <c r="F8" s="128">
        <v>415</v>
      </c>
      <c r="G8" s="129"/>
      <c r="H8" s="128">
        <v>440</v>
      </c>
      <c r="I8" s="129"/>
      <c r="J8" s="126">
        <v>416</v>
      </c>
      <c r="K8" s="127"/>
      <c r="L8" s="130">
        <v>440</v>
      </c>
      <c r="M8" s="131"/>
      <c r="N8" s="130">
        <v>460</v>
      </c>
      <c r="O8" s="131"/>
      <c r="P8" s="130">
        <v>480</v>
      </c>
      <c r="Q8" s="131"/>
    </row>
    <row r="9" spans="1:17" ht="15" customHeight="1" x14ac:dyDescent="0.15">
      <c r="A9" s="24" t="s">
        <v>107</v>
      </c>
      <c r="B9" s="128">
        <v>190</v>
      </c>
      <c r="C9" s="129"/>
      <c r="D9" s="128">
        <v>200</v>
      </c>
      <c r="E9" s="129"/>
      <c r="F9" s="128">
        <v>208</v>
      </c>
      <c r="G9" s="129"/>
      <c r="H9" s="128">
        <v>220</v>
      </c>
      <c r="I9" s="129"/>
      <c r="J9" s="126">
        <v>208</v>
      </c>
      <c r="K9" s="127"/>
      <c r="L9" s="126">
        <v>220</v>
      </c>
      <c r="M9" s="127"/>
      <c r="N9" s="126">
        <v>230</v>
      </c>
      <c r="O9" s="127"/>
      <c r="P9" s="126">
        <v>240</v>
      </c>
      <c r="Q9" s="127"/>
    </row>
    <row r="10" spans="1:17" ht="15" customHeight="1" x14ac:dyDescent="0.15">
      <c r="A10" s="25" t="s">
        <v>62</v>
      </c>
      <c r="B10" s="128">
        <v>220</v>
      </c>
      <c r="C10" s="129"/>
      <c r="D10" s="128">
        <v>230</v>
      </c>
      <c r="E10" s="129"/>
      <c r="F10" s="128">
        <v>240</v>
      </c>
      <c r="G10" s="129"/>
      <c r="H10" s="128">
        <v>254</v>
      </c>
      <c r="I10" s="129"/>
      <c r="J10" s="126">
        <v>240</v>
      </c>
      <c r="K10" s="127"/>
      <c r="L10" s="126">
        <v>254</v>
      </c>
      <c r="M10" s="127"/>
      <c r="N10" s="126">
        <v>266</v>
      </c>
      <c r="O10" s="127"/>
      <c r="P10" s="126">
        <v>277</v>
      </c>
      <c r="Q10" s="127"/>
    </row>
    <row r="11" spans="1:17" ht="15" customHeight="1" x14ac:dyDescent="0.15">
      <c r="A11" s="68" t="s">
        <v>115</v>
      </c>
      <c r="B11" s="128">
        <f>B10/2</f>
        <v>110</v>
      </c>
      <c r="C11" s="129"/>
      <c r="D11" s="128">
        <f>D10/2</f>
        <v>115</v>
      </c>
      <c r="E11" s="129"/>
      <c r="F11" s="128">
        <f>F10/2</f>
        <v>120</v>
      </c>
      <c r="G11" s="129"/>
      <c r="H11" s="128">
        <f>H10/2</f>
        <v>127</v>
      </c>
      <c r="I11" s="129"/>
      <c r="J11" s="126">
        <f>J10/2</f>
        <v>120</v>
      </c>
      <c r="K11" s="127"/>
      <c r="L11" s="126">
        <f>L10/2</f>
        <v>127</v>
      </c>
      <c r="M11" s="127"/>
      <c r="N11" s="126">
        <f>N10/2</f>
        <v>133</v>
      </c>
      <c r="O11" s="127"/>
      <c r="P11" s="126">
        <f>P10/2</f>
        <v>138.5</v>
      </c>
      <c r="Q11" s="127"/>
    </row>
    <row r="12" spans="1:17" ht="15" customHeight="1" x14ac:dyDescent="0.15">
      <c r="A12" s="25" t="s">
        <v>63</v>
      </c>
      <c r="B12" s="128">
        <v>11</v>
      </c>
      <c r="C12" s="129"/>
      <c r="D12" s="128">
        <v>11</v>
      </c>
      <c r="E12" s="129"/>
      <c r="F12" s="128">
        <v>11</v>
      </c>
      <c r="G12" s="129"/>
      <c r="H12" s="128">
        <v>11</v>
      </c>
      <c r="I12" s="129"/>
      <c r="J12" s="126">
        <v>11</v>
      </c>
      <c r="K12" s="127"/>
      <c r="L12" s="126">
        <v>11</v>
      </c>
      <c r="M12" s="127"/>
      <c r="N12" s="126">
        <v>11</v>
      </c>
      <c r="O12" s="127"/>
      <c r="P12" s="126">
        <v>11</v>
      </c>
      <c r="Q12" s="127"/>
    </row>
    <row r="13" spans="1:17" ht="15" customHeight="1" x14ac:dyDescent="0.15">
      <c r="A13" s="36" t="s">
        <v>64</v>
      </c>
      <c r="B13" s="19" t="s">
        <v>0</v>
      </c>
      <c r="C13" s="19" t="s">
        <v>1</v>
      </c>
      <c r="D13" s="19" t="s">
        <v>0</v>
      </c>
      <c r="E13" s="19" t="s">
        <v>1</v>
      </c>
      <c r="F13" s="19" t="s">
        <v>0</v>
      </c>
      <c r="G13" s="19" t="s">
        <v>1</v>
      </c>
      <c r="H13" s="19" t="s">
        <v>0</v>
      </c>
      <c r="I13" s="19" t="s">
        <v>1</v>
      </c>
      <c r="J13" s="23" t="s">
        <v>0</v>
      </c>
      <c r="K13" s="23" t="s">
        <v>1</v>
      </c>
      <c r="L13" s="23" t="s">
        <v>0</v>
      </c>
      <c r="M13" s="23" t="s">
        <v>1</v>
      </c>
      <c r="N13" s="23" t="s">
        <v>0</v>
      </c>
      <c r="O13" s="23" t="s">
        <v>1</v>
      </c>
      <c r="P13" s="23" t="s">
        <v>0</v>
      </c>
      <c r="Q13" s="23" t="s">
        <v>1</v>
      </c>
    </row>
    <row r="14" spans="1:17" ht="15" customHeight="1" x14ac:dyDescent="0.15">
      <c r="A14" s="31" t="s">
        <v>145</v>
      </c>
      <c r="B14" s="29">
        <v>13.3</v>
      </c>
      <c r="C14" s="29">
        <f>B14*0.8</f>
        <v>10.64</v>
      </c>
      <c r="D14" s="29">
        <v>13.3</v>
      </c>
      <c r="E14" s="29">
        <f>D14*0.8</f>
        <v>10.64</v>
      </c>
      <c r="F14" s="29">
        <v>13.3</v>
      </c>
      <c r="G14" s="29">
        <f>F14*0.8</f>
        <v>10.64</v>
      </c>
      <c r="H14" s="55" t="s">
        <v>53</v>
      </c>
      <c r="I14" s="55" t="s">
        <v>53</v>
      </c>
      <c r="J14" s="27">
        <v>16</v>
      </c>
      <c r="K14" s="27">
        <v>22</v>
      </c>
      <c r="L14" s="27">
        <v>17</v>
      </c>
      <c r="M14" s="27">
        <v>23</v>
      </c>
      <c r="N14" s="27">
        <v>17</v>
      </c>
      <c r="O14" s="27">
        <f>N14*0.8</f>
        <v>13.600000000000001</v>
      </c>
      <c r="P14" s="27">
        <v>17</v>
      </c>
      <c r="Q14" s="27">
        <f>P14*0.8</f>
        <v>13.600000000000001</v>
      </c>
    </row>
    <row r="15" spans="1:17" ht="15" customHeight="1" x14ac:dyDescent="0.15">
      <c r="A15" s="31" t="s">
        <v>146</v>
      </c>
      <c r="B15" s="29">
        <v>17.5</v>
      </c>
      <c r="C15" s="29">
        <f>B15*0.8</f>
        <v>14</v>
      </c>
      <c r="D15" s="29">
        <v>17.5</v>
      </c>
      <c r="E15" s="29">
        <f>D15*0.8</f>
        <v>14</v>
      </c>
      <c r="F15" s="29">
        <v>17.5</v>
      </c>
      <c r="G15" s="29">
        <f>F15*0.8</f>
        <v>14</v>
      </c>
      <c r="H15" s="55" t="s">
        <v>53</v>
      </c>
      <c r="I15" s="55" t="s">
        <v>53</v>
      </c>
      <c r="J15" s="27">
        <v>20.3</v>
      </c>
      <c r="K15" s="27">
        <v>26</v>
      </c>
      <c r="L15" s="27">
        <v>21.5</v>
      </c>
      <c r="M15" s="27">
        <v>27.5</v>
      </c>
      <c r="N15" s="27">
        <v>21.5</v>
      </c>
      <c r="O15" s="27">
        <f>N15*0.8</f>
        <v>17.2</v>
      </c>
      <c r="P15" s="27">
        <v>21.5</v>
      </c>
      <c r="Q15" s="27">
        <f>P15*0.8</f>
        <v>17.2</v>
      </c>
    </row>
    <row r="16" spans="1:17" ht="15" customHeight="1" x14ac:dyDescent="0.15">
      <c r="A16" s="31" t="s">
        <v>147</v>
      </c>
      <c r="B16" s="29">
        <v>19.8</v>
      </c>
      <c r="C16" s="29">
        <f>B16*0.8</f>
        <v>15.840000000000002</v>
      </c>
      <c r="D16" s="29">
        <v>19.8</v>
      </c>
      <c r="E16" s="29">
        <f>D16*0.8</f>
        <v>15.840000000000002</v>
      </c>
      <c r="F16" s="29">
        <v>19.8</v>
      </c>
      <c r="G16" s="29">
        <f>F16*0.8</f>
        <v>15.840000000000002</v>
      </c>
      <c r="H16" s="55" t="s">
        <v>53</v>
      </c>
      <c r="I16" s="55" t="s">
        <v>53</v>
      </c>
      <c r="J16" s="27">
        <v>23.1</v>
      </c>
      <c r="K16" s="27">
        <f>J16*0.8</f>
        <v>18.48</v>
      </c>
      <c r="L16" s="27">
        <v>24.4</v>
      </c>
      <c r="M16" s="27">
        <f>L16*0.8</f>
        <v>19.52</v>
      </c>
      <c r="N16" s="27">
        <v>24.4</v>
      </c>
      <c r="O16" s="27">
        <f>N16*0.8</f>
        <v>19.52</v>
      </c>
      <c r="P16" s="27">
        <v>24.4</v>
      </c>
      <c r="Q16" s="27">
        <f>P16*0.8</f>
        <v>19.52</v>
      </c>
    </row>
    <row r="17" spans="1:17" ht="15" customHeight="1" x14ac:dyDescent="0.15">
      <c r="A17" s="31" t="s">
        <v>148</v>
      </c>
      <c r="B17" s="29">
        <v>27</v>
      </c>
      <c r="C17" s="29">
        <f>B17*0.8</f>
        <v>21.6</v>
      </c>
      <c r="D17" s="29">
        <v>27</v>
      </c>
      <c r="E17" s="29">
        <f>D17*0.8</f>
        <v>21.6</v>
      </c>
      <c r="F17" s="29">
        <v>27</v>
      </c>
      <c r="G17" s="29">
        <f>F17*0.8</f>
        <v>21.6</v>
      </c>
      <c r="H17" s="55" t="s">
        <v>53</v>
      </c>
      <c r="I17" s="55" t="s">
        <v>53</v>
      </c>
      <c r="J17" s="27">
        <v>31.8</v>
      </c>
      <c r="K17" s="27">
        <f>J17*0.8</f>
        <v>25.44</v>
      </c>
      <c r="L17" s="27">
        <v>33.5</v>
      </c>
      <c r="M17" s="27">
        <f>L17*0.8</f>
        <v>26.8</v>
      </c>
      <c r="N17" s="27">
        <v>33.5</v>
      </c>
      <c r="O17" s="27">
        <f>N17*0.8</f>
        <v>26.8</v>
      </c>
      <c r="P17" s="27">
        <v>33.5</v>
      </c>
      <c r="Q17" s="27">
        <f>P17*0.8</f>
        <v>26.8</v>
      </c>
    </row>
    <row r="18" spans="1:17" ht="15" customHeight="1" x14ac:dyDescent="0.15">
      <c r="A18" s="31" t="s">
        <v>149</v>
      </c>
      <c r="B18" s="29">
        <v>27.3</v>
      </c>
      <c r="C18" s="29">
        <f>B18*0.8</f>
        <v>21.840000000000003</v>
      </c>
      <c r="D18" s="29">
        <v>28.7</v>
      </c>
      <c r="E18" s="29">
        <f>D18*0.8</f>
        <v>22.96</v>
      </c>
      <c r="F18" s="29">
        <v>27.3</v>
      </c>
      <c r="G18" s="29">
        <f>F18*0.8</f>
        <v>21.840000000000003</v>
      </c>
      <c r="H18" s="55" t="s">
        <v>53</v>
      </c>
      <c r="I18" s="55" t="s">
        <v>53</v>
      </c>
      <c r="J18" s="27">
        <v>32.200000000000003</v>
      </c>
      <c r="K18" s="27">
        <f>J18*0.8</f>
        <v>25.760000000000005</v>
      </c>
      <c r="L18" s="27">
        <v>34</v>
      </c>
      <c r="M18" s="27">
        <f>L18*0.8</f>
        <v>27.200000000000003</v>
      </c>
      <c r="N18" s="27">
        <v>34</v>
      </c>
      <c r="O18" s="27">
        <f>N18*0.8</f>
        <v>27.200000000000003</v>
      </c>
      <c r="P18" s="27">
        <v>34</v>
      </c>
      <c r="Q18" s="27">
        <f>P18*0.8</f>
        <v>27.200000000000003</v>
      </c>
    </row>
    <row r="19" spans="1:17" ht="15" customHeight="1" x14ac:dyDescent="0.15">
      <c r="A19" s="31"/>
      <c r="B19" s="29"/>
      <c r="C19" s="29"/>
      <c r="D19" s="29"/>
      <c r="E19" s="29"/>
      <c r="F19" s="29"/>
      <c r="G19" s="29"/>
      <c r="H19" s="29"/>
      <c r="I19" s="29"/>
      <c r="J19" s="27"/>
      <c r="K19" s="27"/>
      <c r="L19" s="27"/>
      <c r="M19" s="27"/>
      <c r="N19" s="27"/>
      <c r="O19" s="27"/>
      <c r="P19" s="27"/>
      <c r="Q19" s="27"/>
    </row>
    <row r="20" spans="1:17" ht="15" customHeight="1" x14ac:dyDescent="0.15">
      <c r="A20" s="31" t="s">
        <v>150</v>
      </c>
      <c r="B20" s="30">
        <v>31</v>
      </c>
      <c r="C20" s="30">
        <f>B20*0.8</f>
        <v>24.8</v>
      </c>
      <c r="D20" s="30">
        <v>31</v>
      </c>
      <c r="E20" s="30">
        <f>D20*0.8</f>
        <v>24.8</v>
      </c>
      <c r="F20" s="30">
        <v>31</v>
      </c>
      <c r="G20" s="30">
        <f>F20*0.8</f>
        <v>24.8</v>
      </c>
      <c r="H20" s="30">
        <v>22.5</v>
      </c>
      <c r="I20" s="79">
        <f>H20*0.8</f>
        <v>18</v>
      </c>
      <c r="J20" s="28">
        <v>35</v>
      </c>
      <c r="K20" s="28">
        <f>J20*0.8</f>
        <v>28</v>
      </c>
      <c r="L20" s="28">
        <v>36.299999999999997</v>
      </c>
      <c r="M20" s="28">
        <f>L20*0.8</f>
        <v>29.04</v>
      </c>
      <c r="N20" s="28">
        <v>37.5</v>
      </c>
      <c r="O20" s="28">
        <f>N20*0.8</f>
        <v>30</v>
      </c>
      <c r="P20" s="28">
        <v>37.5</v>
      </c>
      <c r="Q20" s="28">
        <f>P20*0.8</f>
        <v>30</v>
      </c>
    </row>
    <row r="21" spans="1:17" ht="15" customHeight="1" x14ac:dyDescent="0.15">
      <c r="A21" s="31" t="s">
        <v>151</v>
      </c>
      <c r="B21" s="30">
        <v>37.5</v>
      </c>
      <c r="C21" s="30">
        <f t="shared" ref="C21:C26" si="0">B21*0.8</f>
        <v>30</v>
      </c>
      <c r="D21" s="30">
        <v>37.5</v>
      </c>
      <c r="E21" s="30">
        <f>D21*0.8</f>
        <v>30</v>
      </c>
      <c r="F21" s="30">
        <v>37.5</v>
      </c>
      <c r="G21" s="30">
        <f>F21*0.8</f>
        <v>30</v>
      </c>
      <c r="H21" s="30">
        <v>27.3</v>
      </c>
      <c r="I21" s="79">
        <f>H21*0.8</f>
        <v>21.840000000000003</v>
      </c>
      <c r="J21" s="28">
        <v>42</v>
      </c>
      <c r="K21" s="28">
        <f>J21*0.8</f>
        <v>33.6</v>
      </c>
      <c r="L21" s="28">
        <v>43.8</v>
      </c>
      <c r="M21" s="28">
        <f>L21*0.8</f>
        <v>35.04</v>
      </c>
      <c r="N21" s="28">
        <v>46.3</v>
      </c>
      <c r="O21" s="28">
        <f>N21*0.8</f>
        <v>37.04</v>
      </c>
      <c r="P21" s="28">
        <v>46.3</v>
      </c>
      <c r="Q21" s="28">
        <f>P21*0.8</f>
        <v>37.04</v>
      </c>
    </row>
    <row r="22" spans="1:17" ht="15" customHeight="1" x14ac:dyDescent="0.15">
      <c r="A22" s="31" t="s">
        <v>152</v>
      </c>
      <c r="B22" s="30">
        <v>42</v>
      </c>
      <c r="C22" s="30">
        <f t="shared" si="0"/>
        <v>33.6</v>
      </c>
      <c r="D22" s="30">
        <v>42</v>
      </c>
      <c r="E22" s="30">
        <f>D22*0.8</f>
        <v>33.6</v>
      </c>
      <c r="F22" s="30">
        <v>42</v>
      </c>
      <c r="G22" s="30">
        <f>F22*0.8</f>
        <v>33.6</v>
      </c>
      <c r="H22" s="30">
        <v>32.6</v>
      </c>
      <c r="I22" s="79">
        <f>H22*0.8</f>
        <v>26.080000000000002</v>
      </c>
      <c r="J22" s="28">
        <v>47.5</v>
      </c>
      <c r="K22" s="28">
        <f>J22*0.8</f>
        <v>38</v>
      </c>
      <c r="L22" s="28">
        <v>50</v>
      </c>
      <c r="M22" s="28">
        <f>L22*0.8</f>
        <v>40</v>
      </c>
      <c r="N22" s="28">
        <v>52.5</v>
      </c>
      <c r="O22" s="28">
        <f>N22*0.8</f>
        <v>42</v>
      </c>
      <c r="P22" s="28">
        <v>52.5</v>
      </c>
      <c r="Q22" s="28">
        <f>P22*0.8</f>
        <v>42</v>
      </c>
    </row>
    <row r="23" spans="1:17" ht="15" customHeight="1" x14ac:dyDescent="0.15">
      <c r="A23" s="31" t="s">
        <v>153</v>
      </c>
      <c r="B23" s="30">
        <v>50</v>
      </c>
      <c r="C23" s="30">
        <f t="shared" si="0"/>
        <v>40</v>
      </c>
      <c r="D23" s="30">
        <v>50</v>
      </c>
      <c r="E23" s="30">
        <f>D23*0.8</f>
        <v>40</v>
      </c>
      <c r="F23" s="30">
        <v>50</v>
      </c>
      <c r="G23" s="30">
        <f>F23*0.8</f>
        <v>40</v>
      </c>
      <c r="H23" s="30">
        <v>39.299999999999997</v>
      </c>
      <c r="I23" s="79">
        <f>H23*0.8</f>
        <v>31.439999999999998</v>
      </c>
      <c r="J23" s="28">
        <v>57.5</v>
      </c>
      <c r="K23" s="28">
        <f>J23*0.8</f>
        <v>46</v>
      </c>
      <c r="L23" s="28">
        <v>60</v>
      </c>
      <c r="M23" s="28">
        <f>L23*0.8</f>
        <v>48</v>
      </c>
      <c r="N23" s="28">
        <v>62.5</v>
      </c>
      <c r="O23" s="28">
        <f>N23*0.8</f>
        <v>50</v>
      </c>
      <c r="P23" s="28">
        <v>62.5</v>
      </c>
      <c r="Q23" s="28">
        <f>P23*0.8</f>
        <v>50</v>
      </c>
    </row>
    <row r="24" spans="1:17" ht="15" customHeight="1" x14ac:dyDescent="0.15">
      <c r="A24" s="31" t="s">
        <v>154</v>
      </c>
      <c r="B24" s="30">
        <v>60</v>
      </c>
      <c r="C24" s="30">
        <f t="shared" si="0"/>
        <v>48</v>
      </c>
      <c r="D24" s="30">
        <v>60</v>
      </c>
      <c r="E24" s="30">
        <f>D24*0.8</f>
        <v>48</v>
      </c>
      <c r="F24" s="30">
        <v>60</v>
      </c>
      <c r="G24" s="30">
        <f>F24*0.8</f>
        <v>48</v>
      </c>
      <c r="H24" s="30">
        <v>52.2</v>
      </c>
      <c r="I24" s="79">
        <f>H24*0.8</f>
        <v>41.760000000000005</v>
      </c>
      <c r="J24" s="28">
        <v>62.5</v>
      </c>
      <c r="K24" s="28">
        <f>J24*0.8</f>
        <v>50</v>
      </c>
      <c r="L24" s="28">
        <v>68.8</v>
      </c>
      <c r="M24" s="28">
        <f>L24*0.8</f>
        <v>55.04</v>
      </c>
      <c r="N24" s="28">
        <v>75</v>
      </c>
      <c r="O24" s="28">
        <f>N24*0.8</f>
        <v>60</v>
      </c>
      <c r="P24" s="28">
        <v>75</v>
      </c>
      <c r="Q24" s="28">
        <f>P24*0.8</f>
        <v>60</v>
      </c>
    </row>
    <row r="25" spans="1:17" ht="15" customHeight="1" x14ac:dyDescent="0.15">
      <c r="A25" s="31"/>
      <c r="B25" s="30"/>
      <c r="C25" s="30"/>
      <c r="D25" s="30"/>
      <c r="E25" s="30"/>
      <c r="F25" s="30"/>
      <c r="G25" s="30"/>
      <c r="H25" s="30"/>
      <c r="I25" s="29"/>
      <c r="J25" s="28"/>
      <c r="K25" s="28"/>
      <c r="L25" s="28"/>
      <c r="M25" s="28"/>
      <c r="N25" s="28"/>
      <c r="O25" s="28"/>
      <c r="P25" s="28"/>
      <c r="Q25" s="28"/>
    </row>
    <row r="26" spans="1:17" ht="15" customHeight="1" x14ac:dyDescent="0.15">
      <c r="A26" s="31" t="s">
        <v>155</v>
      </c>
      <c r="B26" s="30">
        <v>67.5</v>
      </c>
      <c r="C26" s="30">
        <f t="shared" si="0"/>
        <v>54</v>
      </c>
      <c r="D26" s="30">
        <v>67.5</v>
      </c>
      <c r="E26" s="30">
        <f t="shared" ref="E26:E31" si="1">D26*0.8</f>
        <v>54</v>
      </c>
      <c r="F26" s="30">
        <v>67.5</v>
      </c>
      <c r="G26" s="30">
        <f t="shared" ref="G26:G31" si="2">F26*0.8</f>
        <v>54</v>
      </c>
      <c r="H26" s="39" t="s">
        <v>53</v>
      </c>
      <c r="I26" s="55" t="s">
        <v>53</v>
      </c>
      <c r="J26" s="28">
        <v>75</v>
      </c>
      <c r="K26" s="28">
        <f t="shared" ref="K26:K31" si="3">J26*0.8</f>
        <v>60</v>
      </c>
      <c r="L26" s="28">
        <v>77.5</v>
      </c>
      <c r="M26" s="28">
        <f t="shared" ref="M26:M31" si="4">L26*0.8</f>
        <v>62</v>
      </c>
      <c r="N26" s="28">
        <v>80</v>
      </c>
      <c r="O26" s="28">
        <f>N26*0.8</f>
        <v>64</v>
      </c>
      <c r="P26" s="28">
        <v>80</v>
      </c>
      <c r="Q26" s="28">
        <f>P26*0.8</f>
        <v>64</v>
      </c>
    </row>
    <row r="27" spans="1:17" ht="15" customHeight="1" x14ac:dyDescent="0.15">
      <c r="A27" s="31" t="s">
        <v>156</v>
      </c>
      <c r="B27" s="30">
        <v>81.3</v>
      </c>
      <c r="C27" s="30">
        <f>B27*0.8</f>
        <v>65.040000000000006</v>
      </c>
      <c r="D27" s="30">
        <v>81.3</v>
      </c>
      <c r="E27" s="30">
        <f t="shared" si="1"/>
        <v>65.040000000000006</v>
      </c>
      <c r="F27" s="30">
        <v>81.3</v>
      </c>
      <c r="G27" s="30">
        <f t="shared" si="2"/>
        <v>65.040000000000006</v>
      </c>
      <c r="H27" s="39" t="s">
        <v>53</v>
      </c>
      <c r="I27" s="55" t="s">
        <v>53</v>
      </c>
      <c r="J27" s="28">
        <v>87.5</v>
      </c>
      <c r="K27" s="28">
        <f t="shared" si="3"/>
        <v>70</v>
      </c>
      <c r="L27" s="28">
        <v>90</v>
      </c>
      <c r="M27" s="28">
        <f t="shared" si="4"/>
        <v>72</v>
      </c>
      <c r="N27" s="28">
        <v>92.5</v>
      </c>
      <c r="O27" s="28">
        <f>N27*0.8</f>
        <v>74</v>
      </c>
      <c r="P27" s="28">
        <v>92.5</v>
      </c>
      <c r="Q27" s="28">
        <f>P27*0.8</f>
        <v>74</v>
      </c>
    </row>
    <row r="28" spans="1:17" ht="15" customHeight="1" x14ac:dyDescent="0.15">
      <c r="A28" s="31" t="s">
        <v>157</v>
      </c>
      <c r="B28" s="30">
        <v>100</v>
      </c>
      <c r="C28" s="30">
        <f>B28*0.8</f>
        <v>80</v>
      </c>
      <c r="D28" s="30">
        <v>100</v>
      </c>
      <c r="E28" s="30">
        <f t="shared" si="1"/>
        <v>80</v>
      </c>
      <c r="F28" s="30">
        <v>100</v>
      </c>
      <c r="G28" s="30">
        <f t="shared" si="2"/>
        <v>80</v>
      </c>
      <c r="H28" s="39" t="s">
        <v>53</v>
      </c>
      <c r="I28" s="55" t="s">
        <v>53</v>
      </c>
      <c r="J28" s="28">
        <v>110</v>
      </c>
      <c r="K28" s="28">
        <f t="shared" si="3"/>
        <v>88</v>
      </c>
      <c r="L28" s="28">
        <v>112.5</v>
      </c>
      <c r="M28" s="28">
        <f t="shared" si="4"/>
        <v>90</v>
      </c>
      <c r="N28" s="28">
        <v>118.8</v>
      </c>
      <c r="O28" s="28">
        <v>134</v>
      </c>
      <c r="P28" s="28">
        <v>118.8</v>
      </c>
      <c r="Q28" s="28">
        <v>164.4</v>
      </c>
    </row>
    <row r="29" spans="1:17" ht="15" customHeight="1" x14ac:dyDescent="0.15">
      <c r="A29" s="31" t="s">
        <v>158</v>
      </c>
      <c r="B29" s="30">
        <v>112.5</v>
      </c>
      <c r="C29" s="30">
        <f>B29*0.8</f>
        <v>90</v>
      </c>
      <c r="D29" s="30">
        <v>112.5</v>
      </c>
      <c r="E29" s="30">
        <f t="shared" si="1"/>
        <v>90</v>
      </c>
      <c r="F29" s="30">
        <v>112.5</v>
      </c>
      <c r="G29" s="30">
        <f t="shared" si="2"/>
        <v>90</v>
      </c>
      <c r="H29" s="39" t="s">
        <v>53</v>
      </c>
      <c r="I29" s="55" t="s">
        <v>53</v>
      </c>
      <c r="J29" s="28">
        <v>131.30000000000001</v>
      </c>
      <c r="K29" s="28">
        <f t="shared" si="3"/>
        <v>105.04000000000002</v>
      </c>
      <c r="L29" s="28">
        <v>137.5</v>
      </c>
      <c r="M29" s="28">
        <f t="shared" si="4"/>
        <v>110</v>
      </c>
      <c r="N29" s="28">
        <v>143.80000000000001</v>
      </c>
      <c r="O29" s="28">
        <f>N29*0.8</f>
        <v>115.04000000000002</v>
      </c>
      <c r="P29" s="28">
        <v>143.80000000000001</v>
      </c>
      <c r="Q29" s="28">
        <f>P29*0.8</f>
        <v>115.04000000000002</v>
      </c>
    </row>
    <row r="30" spans="1:17" ht="15" customHeight="1" x14ac:dyDescent="0.15">
      <c r="A30" s="31" t="s">
        <v>159</v>
      </c>
      <c r="B30" s="30">
        <v>128.6</v>
      </c>
      <c r="C30" s="30">
        <f>B30*0.8</f>
        <v>102.88</v>
      </c>
      <c r="D30" s="30">
        <v>128.6</v>
      </c>
      <c r="E30" s="30">
        <f t="shared" si="1"/>
        <v>102.88</v>
      </c>
      <c r="F30" s="30">
        <v>128.6</v>
      </c>
      <c r="G30" s="30">
        <f t="shared" si="2"/>
        <v>102.88</v>
      </c>
      <c r="H30" s="39" t="s">
        <v>53</v>
      </c>
      <c r="I30" s="55" t="s">
        <v>53</v>
      </c>
      <c r="J30" s="28">
        <v>151.6</v>
      </c>
      <c r="K30" s="28">
        <f t="shared" si="3"/>
        <v>121.28</v>
      </c>
      <c r="L30" s="28">
        <v>162</v>
      </c>
      <c r="M30" s="28">
        <f t="shared" si="4"/>
        <v>129.6</v>
      </c>
      <c r="N30" s="28">
        <v>162</v>
      </c>
      <c r="O30" s="28">
        <f>N30*0.8</f>
        <v>129.6</v>
      </c>
      <c r="P30" s="28">
        <v>162</v>
      </c>
      <c r="Q30" s="28">
        <f>P30*0.8</f>
        <v>129.6</v>
      </c>
    </row>
    <row r="31" spans="1:17" ht="15" customHeight="1" x14ac:dyDescent="0.15">
      <c r="A31" s="31" t="s">
        <v>160</v>
      </c>
      <c r="B31" s="30">
        <v>143.80000000000001</v>
      </c>
      <c r="C31" s="30">
        <f>B31*0.8</f>
        <v>115.04000000000002</v>
      </c>
      <c r="D31" s="30">
        <v>143.80000000000001</v>
      </c>
      <c r="E31" s="30">
        <f t="shared" si="1"/>
        <v>115.04000000000002</v>
      </c>
      <c r="F31" s="30">
        <v>143.80000000000001</v>
      </c>
      <c r="G31" s="30">
        <f t="shared" si="2"/>
        <v>115.04000000000002</v>
      </c>
      <c r="H31" s="39" t="s">
        <v>53</v>
      </c>
      <c r="I31" s="55" t="s">
        <v>53</v>
      </c>
      <c r="J31" s="28">
        <v>175</v>
      </c>
      <c r="K31" s="28">
        <f t="shared" si="3"/>
        <v>140</v>
      </c>
      <c r="L31" s="28">
        <v>187.5</v>
      </c>
      <c r="M31" s="28">
        <f t="shared" si="4"/>
        <v>150</v>
      </c>
      <c r="N31" s="28">
        <v>200</v>
      </c>
      <c r="O31" s="28">
        <f>N31*0.8</f>
        <v>160</v>
      </c>
      <c r="P31" s="28">
        <v>200</v>
      </c>
      <c r="Q31" s="28">
        <f>P31*0.8</f>
        <v>160</v>
      </c>
    </row>
    <row r="32" spans="1:17" ht="15" customHeight="1" x14ac:dyDescent="0.15">
      <c r="A32" s="31"/>
      <c r="B32" s="30"/>
      <c r="C32" s="30"/>
      <c r="D32" s="30"/>
      <c r="E32" s="30"/>
      <c r="F32" s="30"/>
      <c r="G32" s="30"/>
      <c r="H32" s="30"/>
      <c r="I32" s="29"/>
      <c r="J32" s="28"/>
      <c r="K32" s="28"/>
      <c r="L32" s="28"/>
      <c r="M32" s="28"/>
      <c r="N32" s="28"/>
      <c r="O32" s="28"/>
      <c r="P32" s="28"/>
      <c r="Q32" s="28"/>
    </row>
    <row r="33" spans="1:17" ht="15" customHeight="1" x14ac:dyDescent="0.15">
      <c r="A33" s="32" t="s">
        <v>161</v>
      </c>
      <c r="B33" s="30">
        <v>175</v>
      </c>
      <c r="C33" s="30">
        <f>B33*0.8</f>
        <v>140</v>
      </c>
      <c r="D33" s="30">
        <v>175</v>
      </c>
      <c r="E33" s="30">
        <f>D33*0.8</f>
        <v>140</v>
      </c>
      <c r="F33" s="30">
        <v>185</v>
      </c>
      <c r="G33" s="30">
        <f>F33*0.8</f>
        <v>148</v>
      </c>
      <c r="H33" s="30">
        <v>185</v>
      </c>
      <c r="I33" s="30">
        <f>H33*0.8</f>
        <v>148</v>
      </c>
      <c r="J33" s="28">
        <v>200</v>
      </c>
      <c r="K33" s="28">
        <f>J33*0.8</f>
        <v>160</v>
      </c>
      <c r="L33" s="28">
        <v>205</v>
      </c>
      <c r="M33" s="28">
        <f>L33*0.8</f>
        <v>164</v>
      </c>
      <c r="N33" s="28">
        <v>220</v>
      </c>
      <c r="O33" s="28">
        <f>N33*0.8</f>
        <v>176</v>
      </c>
      <c r="P33" s="28">
        <v>225</v>
      </c>
      <c r="Q33" s="28">
        <f>P33*0.8</f>
        <v>180</v>
      </c>
    </row>
    <row r="34" spans="1:17" ht="15" customHeight="1" x14ac:dyDescent="0.15">
      <c r="A34" s="32" t="s">
        <v>162</v>
      </c>
      <c r="B34" s="30">
        <v>195</v>
      </c>
      <c r="C34" s="30">
        <f>B34*0.8</f>
        <v>156</v>
      </c>
      <c r="D34" s="30">
        <v>195</v>
      </c>
      <c r="E34" s="30">
        <f>D34*0.8</f>
        <v>156</v>
      </c>
      <c r="F34" s="30">
        <v>200</v>
      </c>
      <c r="G34" s="30">
        <f>F34*0.8</f>
        <v>160</v>
      </c>
      <c r="H34" s="30">
        <v>200</v>
      </c>
      <c r="I34" s="30">
        <f>H34*0.8</f>
        <v>160</v>
      </c>
      <c r="J34" s="28">
        <v>225</v>
      </c>
      <c r="K34" s="28">
        <f>J34*0.8</f>
        <v>180</v>
      </c>
      <c r="L34" s="28">
        <v>235</v>
      </c>
      <c r="M34" s="28">
        <f>L34*0.8</f>
        <v>188</v>
      </c>
      <c r="N34" s="28">
        <v>248</v>
      </c>
      <c r="O34" s="28">
        <f>N34*0.8</f>
        <v>198.4</v>
      </c>
      <c r="P34" s="28">
        <v>258</v>
      </c>
      <c r="Q34" s="28">
        <f>P34*0.8</f>
        <v>206.4</v>
      </c>
    </row>
    <row r="35" spans="1:17" ht="15" customHeight="1" x14ac:dyDescent="0.15">
      <c r="A35" s="32" t="s">
        <v>163</v>
      </c>
      <c r="B35" s="30">
        <v>238</v>
      </c>
      <c r="C35" s="30">
        <f>B35*0.8</f>
        <v>190.4</v>
      </c>
      <c r="D35" s="30">
        <v>238</v>
      </c>
      <c r="E35" s="30">
        <f>D35*0.8</f>
        <v>190.4</v>
      </c>
      <c r="F35" s="30">
        <v>240</v>
      </c>
      <c r="G35" s="30">
        <f>F35*0.8</f>
        <v>192</v>
      </c>
      <c r="H35" s="30">
        <v>240</v>
      </c>
      <c r="I35" s="30">
        <f>H35*0.8</f>
        <v>192</v>
      </c>
      <c r="J35" s="28">
        <v>275</v>
      </c>
      <c r="K35" s="28">
        <f>J35*0.8</f>
        <v>220</v>
      </c>
      <c r="L35" s="28">
        <v>285</v>
      </c>
      <c r="M35" s="28">
        <f>L35*0.8</f>
        <v>228</v>
      </c>
      <c r="N35" s="28">
        <v>295</v>
      </c>
      <c r="O35" s="28">
        <f>N35*0.8</f>
        <v>236</v>
      </c>
      <c r="P35" s="28">
        <v>303</v>
      </c>
      <c r="Q35" s="28">
        <f>P35*0.8</f>
        <v>242.4</v>
      </c>
    </row>
    <row r="36" spans="1:17" ht="15" customHeight="1" x14ac:dyDescent="0.15">
      <c r="A36" s="32" t="s">
        <v>164</v>
      </c>
      <c r="B36" s="30">
        <v>263</v>
      </c>
      <c r="C36" s="30">
        <f>B36*0.8</f>
        <v>210.4</v>
      </c>
      <c r="D36" s="30">
        <v>263</v>
      </c>
      <c r="E36" s="30">
        <f>D36*0.8</f>
        <v>210.4</v>
      </c>
      <c r="F36" s="30">
        <v>273</v>
      </c>
      <c r="G36" s="30">
        <f>F36*0.8</f>
        <v>218.4</v>
      </c>
      <c r="H36" s="30">
        <v>273</v>
      </c>
      <c r="I36" s="30">
        <f>H36*0.8</f>
        <v>218.4</v>
      </c>
      <c r="J36" s="28">
        <v>319</v>
      </c>
      <c r="K36" s="28">
        <f>J36*0.8</f>
        <v>255.20000000000002</v>
      </c>
      <c r="L36" s="28">
        <v>330</v>
      </c>
      <c r="M36" s="28">
        <f>L36*0.8</f>
        <v>264</v>
      </c>
      <c r="N36" s="28">
        <v>335</v>
      </c>
      <c r="O36" s="28">
        <f>N36*0.8</f>
        <v>268</v>
      </c>
      <c r="P36" s="28">
        <v>344</v>
      </c>
      <c r="Q36" s="28">
        <f>P36*0.8</f>
        <v>275.2</v>
      </c>
    </row>
    <row r="37" spans="1:17" ht="15" customHeight="1" x14ac:dyDescent="0.15">
      <c r="A37" s="32"/>
      <c r="B37" s="30"/>
      <c r="C37" s="30"/>
      <c r="D37" s="30"/>
      <c r="E37" s="30"/>
      <c r="F37" s="30"/>
      <c r="G37" s="30"/>
      <c r="H37" s="30"/>
      <c r="I37" s="29"/>
      <c r="J37" s="28"/>
      <c r="K37" s="28"/>
      <c r="L37" s="28"/>
      <c r="M37" s="28"/>
      <c r="N37" s="28"/>
      <c r="O37" s="28"/>
      <c r="P37" s="28"/>
      <c r="Q37" s="28"/>
    </row>
    <row r="38" spans="1:17" ht="15" customHeight="1" x14ac:dyDescent="0.15">
      <c r="A38" s="32" t="s">
        <v>165</v>
      </c>
      <c r="B38" s="22">
        <v>320</v>
      </c>
      <c r="C38" s="30">
        <f>B38*0.8</f>
        <v>256</v>
      </c>
      <c r="D38" s="22">
        <v>325</v>
      </c>
      <c r="E38" s="30">
        <f>D38*0.8</f>
        <v>260</v>
      </c>
      <c r="F38" s="22">
        <v>330</v>
      </c>
      <c r="G38" s="30">
        <f>F38*0.8</f>
        <v>264</v>
      </c>
      <c r="H38" s="22">
        <v>330</v>
      </c>
      <c r="I38" s="30">
        <f>H38*0.8</f>
        <v>264</v>
      </c>
      <c r="J38" s="28">
        <v>375</v>
      </c>
      <c r="K38" s="28">
        <f>J38*0.8</f>
        <v>300</v>
      </c>
      <c r="L38" s="28">
        <v>395</v>
      </c>
      <c r="M38" s="28">
        <f>L38*0.8</f>
        <v>316</v>
      </c>
      <c r="N38" s="28">
        <v>415</v>
      </c>
      <c r="O38" s="28">
        <f>N38*0.8</f>
        <v>332</v>
      </c>
      <c r="P38" s="28">
        <v>420</v>
      </c>
      <c r="Q38" s="81">
        <f>P38*0.8</f>
        <v>336</v>
      </c>
    </row>
    <row r="39" spans="1:17" ht="15" customHeight="1" x14ac:dyDescent="0.15">
      <c r="A39" s="32" t="s">
        <v>166</v>
      </c>
      <c r="B39" s="30">
        <v>355</v>
      </c>
      <c r="C39" s="30">
        <f>B39*0.8</f>
        <v>284</v>
      </c>
      <c r="D39" s="30">
        <v>365</v>
      </c>
      <c r="E39" s="30">
        <f>D39*0.8</f>
        <v>292</v>
      </c>
      <c r="F39" s="30">
        <v>375</v>
      </c>
      <c r="G39" s="30">
        <f>F39*0.8</f>
        <v>300</v>
      </c>
      <c r="H39" s="30">
        <v>375</v>
      </c>
      <c r="I39" s="30">
        <f>H39*0.8</f>
        <v>300</v>
      </c>
      <c r="J39" s="28">
        <v>405</v>
      </c>
      <c r="K39" s="28">
        <f>J39*0.8</f>
        <v>324</v>
      </c>
      <c r="L39" s="28">
        <v>425</v>
      </c>
      <c r="M39" s="28">
        <f>L39*0.8</f>
        <v>340</v>
      </c>
      <c r="N39" s="28">
        <v>445</v>
      </c>
      <c r="O39" s="81">
        <f>N39*0.8</f>
        <v>356</v>
      </c>
      <c r="P39" s="28">
        <v>465</v>
      </c>
      <c r="Q39" s="81">
        <f>P39*0.8</f>
        <v>372</v>
      </c>
    </row>
    <row r="40" spans="1:17" ht="15" customHeight="1" x14ac:dyDescent="0.15">
      <c r="A40" s="32" t="s">
        <v>167</v>
      </c>
      <c r="B40" s="22">
        <v>415</v>
      </c>
      <c r="C40" s="30">
        <f>B40*0.8</f>
        <v>332</v>
      </c>
      <c r="D40" s="22">
        <v>430</v>
      </c>
      <c r="E40" s="30">
        <f>D40*0.8</f>
        <v>344</v>
      </c>
      <c r="F40" s="22">
        <v>440</v>
      </c>
      <c r="G40" s="30">
        <f>F40*0.8</f>
        <v>352</v>
      </c>
      <c r="H40" s="22">
        <v>440</v>
      </c>
      <c r="I40" s="30">
        <f>H40*0.8</f>
        <v>352</v>
      </c>
      <c r="J40" s="28">
        <v>495</v>
      </c>
      <c r="K40" s="28">
        <f>J40*0.8</f>
        <v>396</v>
      </c>
      <c r="L40" s="28">
        <v>515</v>
      </c>
      <c r="M40" s="28">
        <f>L40*0.8</f>
        <v>412</v>
      </c>
      <c r="N40" s="28">
        <v>520</v>
      </c>
      <c r="O40" s="81">
        <f>N40*0.8</f>
        <v>416</v>
      </c>
      <c r="P40" s="28">
        <v>530</v>
      </c>
      <c r="Q40" s="81">
        <f>P40*0.8</f>
        <v>424</v>
      </c>
    </row>
    <row r="41" spans="1:17" ht="15" customHeight="1" x14ac:dyDescent="0.15">
      <c r="A41" s="32" t="s">
        <v>168</v>
      </c>
      <c r="B41" s="22">
        <v>440</v>
      </c>
      <c r="C41" s="30">
        <f>B41*0.8</f>
        <v>352</v>
      </c>
      <c r="D41" s="22">
        <v>460</v>
      </c>
      <c r="E41" s="30">
        <f>D41*0.8</f>
        <v>368</v>
      </c>
      <c r="F41" s="22">
        <v>475</v>
      </c>
      <c r="G41" s="30">
        <f>F41*0.8</f>
        <v>380</v>
      </c>
      <c r="H41" s="22">
        <v>475</v>
      </c>
      <c r="I41" s="30">
        <f>H41*0.8</f>
        <v>380</v>
      </c>
      <c r="J41" s="28">
        <v>544</v>
      </c>
      <c r="K41" s="28">
        <f>J41*0.8</f>
        <v>435.20000000000005</v>
      </c>
      <c r="L41" s="28">
        <v>565</v>
      </c>
      <c r="M41" s="28">
        <f>L41*0.8</f>
        <v>452</v>
      </c>
      <c r="N41" s="28">
        <v>578</v>
      </c>
      <c r="O41" s="81">
        <f>N41*0.8</f>
        <v>462.40000000000003</v>
      </c>
      <c r="P41" s="28">
        <v>582</v>
      </c>
      <c r="Q41" s="81">
        <f>P41*0.8</f>
        <v>465.6</v>
      </c>
    </row>
    <row r="42" spans="1:17" ht="15" customHeight="1" x14ac:dyDescent="0.15">
      <c r="A42" s="74"/>
      <c r="B42" s="75"/>
      <c r="C42" s="76"/>
      <c r="E42" s="76"/>
      <c r="F42" s="76"/>
      <c r="G42" s="77"/>
      <c r="H42" s="76"/>
      <c r="J42" s="77"/>
      <c r="L42" s="78"/>
      <c r="N42" s="76"/>
    </row>
    <row r="43" spans="1:17" x14ac:dyDescent="0.15">
      <c r="A43" s="24" t="s">
        <v>68</v>
      </c>
      <c r="B43" s="139" t="s">
        <v>66</v>
      </c>
      <c r="C43" s="140"/>
      <c r="D43" s="140"/>
      <c r="E43" s="140"/>
      <c r="F43" s="140"/>
      <c r="G43" s="140"/>
      <c r="H43" s="140"/>
      <c r="I43" s="141"/>
      <c r="J43" s="166" t="s">
        <v>67</v>
      </c>
      <c r="K43" s="166"/>
      <c r="L43" s="166"/>
      <c r="M43" s="166"/>
      <c r="N43" s="166"/>
      <c r="O43" s="166"/>
      <c r="P43" s="166"/>
      <c r="Q43" s="166"/>
    </row>
    <row r="44" spans="1:17" x14ac:dyDescent="0.15">
      <c r="A44" s="24" t="s">
        <v>58</v>
      </c>
      <c r="B44" s="128">
        <v>0.8</v>
      </c>
      <c r="C44" s="129"/>
      <c r="D44" s="128">
        <v>0.8</v>
      </c>
      <c r="E44" s="129"/>
      <c r="F44" s="128">
        <v>0.8</v>
      </c>
      <c r="G44" s="129"/>
      <c r="H44" s="128">
        <v>0.8</v>
      </c>
      <c r="I44" s="129"/>
      <c r="J44" s="130">
        <v>0.8</v>
      </c>
      <c r="K44" s="131"/>
      <c r="L44" s="130">
        <v>0.8</v>
      </c>
      <c r="M44" s="131"/>
      <c r="N44" s="130">
        <v>0.8</v>
      </c>
      <c r="O44" s="131"/>
      <c r="P44" s="130">
        <v>0.8</v>
      </c>
      <c r="Q44" s="131"/>
    </row>
    <row r="45" spans="1:17" x14ac:dyDescent="0.15">
      <c r="A45" s="24" t="s">
        <v>59</v>
      </c>
      <c r="B45" s="17"/>
      <c r="C45" s="18"/>
      <c r="D45" s="17"/>
      <c r="E45" s="18"/>
      <c r="F45" s="17"/>
      <c r="G45" s="18"/>
      <c r="H45" s="53"/>
      <c r="I45" s="53"/>
      <c r="J45" s="20"/>
      <c r="K45" s="21"/>
      <c r="L45" s="20"/>
      <c r="M45" s="21"/>
      <c r="N45" s="20"/>
      <c r="O45" s="21"/>
      <c r="P45" s="20"/>
      <c r="Q45" s="21"/>
    </row>
    <row r="46" spans="1:17" x14ac:dyDescent="0.15">
      <c r="A46" s="24" t="s">
        <v>104</v>
      </c>
      <c r="B46" s="128">
        <v>380</v>
      </c>
      <c r="C46" s="129"/>
      <c r="D46" s="137">
        <v>400</v>
      </c>
      <c r="E46" s="137"/>
      <c r="F46" s="128">
        <v>415</v>
      </c>
      <c r="G46" s="129"/>
      <c r="H46" s="128">
        <v>440</v>
      </c>
      <c r="I46" s="129"/>
      <c r="J46" s="126">
        <v>416</v>
      </c>
      <c r="K46" s="127"/>
      <c r="L46" s="130">
        <v>440</v>
      </c>
      <c r="M46" s="131"/>
      <c r="N46" s="130">
        <v>460</v>
      </c>
      <c r="O46" s="131"/>
      <c r="P46" s="130">
        <v>480</v>
      </c>
      <c r="Q46" s="131"/>
    </row>
    <row r="47" spans="1:17" x14ac:dyDescent="0.15">
      <c r="A47" s="24" t="s">
        <v>105</v>
      </c>
      <c r="B47" s="128">
        <v>220</v>
      </c>
      <c r="C47" s="129"/>
      <c r="D47" s="128">
        <v>230</v>
      </c>
      <c r="E47" s="129"/>
      <c r="F47" s="128">
        <v>240</v>
      </c>
      <c r="G47" s="129"/>
      <c r="H47" s="128">
        <v>254</v>
      </c>
      <c r="I47" s="129"/>
      <c r="J47" s="126">
        <v>240</v>
      </c>
      <c r="K47" s="127"/>
      <c r="L47" s="126">
        <v>254</v>
      </c>
      <c r="M47" s="127"/>
      <c r="N47" s="126">
        <v>266</v>
      </c>
      <c r="O47" s="127"/>
      <c r="P47" s="126">
        <v>277</v>
      </c>
      <c r="Q47" s="127"/>
    </row>
    <row r="48" spans="1:17" x14ac:dyDescent="0.15">
      <c r="A48" s="24" t="s">
        <v>106</v>
      </c>
      <c r="B48" s="128">
        <v>380</v>
      </c>
      <c r="C48" s="129"/>
      <c r="D48" s="137">
        <v>400</v>
      </c>
      <c r="E48" s="137"/>
      <c r="F48" s="128">
        <v>415</v>
      </c>
      <c r="G48" s="129"/>
      <c r="H48" s="128">
        <v>440</v>
      </c>
      <c r="I48" s="129"/>
      <c r="J48" s="126">
        <v>416</v>
      </c>
      <c r="K48" s="127"/>
      <c r="L48" s="130">
        <v>440</v>
      </c>
      <c r="M48" s="131"/>
      <c r="N48" s="130">
        <v>460</v>
      </c>
      <c r="O48" s="131"/>
      <c r="P48" s="130">
        <v>480</v>
      </c>
      <c r="Q48" s="131"/>
    </row>
    <row r="49" spans="1:17" x14ac:dyDescent="0.15">
      <c r="A49" s="24" t="s">
        <v>107</v>
      </c>
      <c r="B49" s="128">
        <v>190</v>
      </c>
      <c r="C49" s="129"/>
      <c r="D49" s="128">
        <v>200</v>
      </c>
      <c r="E49" s="129"/>
      <c r="F49" s="128">
        <v>208</v>
      </c>
      <c r="G49" s="129"/>
      <c r="H49" s="128">
        <v>220</v>
      </c>
      <c r="I49" s="129"/>
      <c r="J49" s="126">
        <v>208</v>
      </c>
      <c r="K49" s="127"/>
      <c r="L49" s="126">
        <v>220</v>
      </c>
      <c r="M49" s="127"/>
      <c r="N49" s="126">
        <v>230</v>
      </c>
      <c r="O49" s="127"/>
      <c r="P49" s="126">
        <v>240</v>
      </c>
      <c r="Q49" s="127"/>
    </row>
    <row r="50" spans="1:17" x14ac:dyDescent="0.15">
      <c r="A50" s="25" t="s">
        <v>62</v>
      </c>
      <c r="B50" s="128">
        <v>220</v>
      </c>
      <c r="C50" s="129"/>
      <c r="D50" s="128">
        <v>230</v>
      </c>
      <c r="E50" s="129"/>
      <c r="F50" s="128">
        <v>240</v>
      </c>
      <c r="G50" s="129"/>
      <c r="H50" s="128">
        <v>254</v>
      </c>
      <c r="I50" s="129"/>
      <c r="J50" s="126">
        <v>240</v>
      </c>
      <c r="K50" s="127"/>
      <c r="L50" s="126">
        <v>254</v>
      </c>
      <c r="M50" s="127"/>
      <c r="N50" s="126">
        <v>266</v>
      </c>
      <c r="O50" s="127"/>
      <c r="P50" s="126">
        <v>277</v>
      </c>
      <c r="Q50" s="127"/>
    </row>
    <row r="51" spans="1:17" x14ac:dyDescent="0.15">
      <c r="A51" s="25" t="s">
        <v>63</v>
      </c>
      <c r="B51" s="128" t="s">
        <v>55</v>
      </c>
      <c r="C51" s="129"/>
      <c r="D51" s="128" t="s">
        <v>55</v>
      </c>
      <c r="E51" s="129"/>
      <c r="F51" s="128" t="s">
        <v>55</v>
      </c>
      <c r="G51" s="129"/>
      <c r="H51" s="128" t="s">
        <v>55</v>
      </c>
      <c r="I51" s="129"/>
      <c r="J51" s="126" t="s">
        <v>55</v>
      </c>
      <c r="K51" s="127"/>
      <c r="L51" s="126" t="s">
        <v>55</v>
      </c>
      <c r="M51" s="127"/>
      <c r="N51" s="126" t="s">
        <v>55</v>
      </c>
      <c r="O51" s="127"/>
      <c r="P51" s="126" t="s">
        <v>55</v>
      </c>
      <c r="Q51" s="127"/>
    </row>
    <row r="52" spans="1:17" x14ac:dyDescent="0.15">
      <c r="A52" s="26" t="s">
        <v>64</v>
      </c>
      <c r="B52" s="19" t="s">
        <v>0</v>
      </c>
      <c r="C52" s="19" t="s">
        <v>1</v>
      </c>
      <c r="D52" s="19" t="s">
        <v>0</v>
      </c>
      <c r="E52" s="19" t="s">
        <v>1</v>
      </c>
      <c r="F52" s="19" t="s">
        <v>0</v>
      </c>
      <c r="G52" s="19" t="s">
        <v>1</v>
      </c>
      <c r="H52" s="19" t="s">
        <v>0</v>
      </c>
      <c r="I52" s="19" t="s">
        <v>1</v>
      </c>
      <c r="J52" s="23" t="s">
        <v>0</v>
      </c>
      <c r="K52" s="23" t="s">
        <v>1</v>
      </c>
      <c r="L52" s="23" t="s">
        <v>0</v>
      </c>
      <c r="M52" s="23" t="s">
        <v>1</v>
      </c>
      <c r="N52" s="23" t="s">
        <v>0</v>
      </c>
      <c r="O52" s="23" t="s">
        <v>1</v>
      </c>
      <c r="P52" s="23" t="s">
        <v>0</v>
      </c>
      <c r="Q52" s="23" t="s">
        <v>1</v>
      </c>
    </row>
    <row r="53" spans="1:17" x14ac:dyDescent="0.15">
      <c r="A53" s="32" t="s">
        <v>127</v>
      </c>
      <c r="B53" s="22">
        <v>480</v>
      </c>
      <c r="C53" s="30">
        <f t="shared" ref="C53:C58" si="5">B53*0.8</f>
        <v>384</v>
      </c>
      <c r="D53" s="22">
        <v>510</v>
      </c>
      <c r="E53" s="30">
        <f t="shared" ref="E53:E58" si="6">D53*0.8</f>
        <v>408</v>
      </c>
      <c r="F53" s="22">
        <v>510</v>
      </c>
      <c r="G53" s="30">
        <f t="shared" ref="G53:G58" si="7">F53*0.8</f>
        <v>408</v>
      </c>
      <c r="H53" s="30">
        <v>480</v>
      </c>
      <c r="I53" s="30">
        <f t="shared" ref="I53:I58" si="8">H53*0.8</f>
        <v>384</v>
      </c>
      <c r="J53" s="28">
        <v>550</v>
      </c>
      <c r="K53" s="28">
        <f t="shared" ref="K53:K58" si="9">J53*0.8</f>
        <v>440</v>
      </c>
      <c r="L53" s="28">
        <v>580</v>
      </c>
      <c r="M53" s="28">
        <f t="shared" ref="M53:M58" si="10">L53*0.8</f>
        <v>464</v>
      </c>
      <c r="N53" s="28">
        <v>612</v>
      </c>
      <c r="O53" s="28">
        <f t="shared" ref="O53:O58" si="11">N53*0.8</f>
        <v>489.6</v>
      </c>
      <c r="P53" s="28">
        <v>625</v>
      </c>
      <c r="Q53" s="28">
        <f t="shared" ref="Q53:Q58" si="12">P53*0.8</f>
        <v>500</v>
      </c>
    </row>
    <row r="54" spans="1:17" x14ac:dyDescent="0.15">
      <c r="A54" s="32" t="s">
        <v>128</v>
      </c>
      <c r="B54" s="22">
        <v>515</v>
      </c>
      <c r="C54" s="30">
        <f t="shared" si="5"/>
        <v>412</v>
      </c>
      <c r="D54" s="22">
        <v>550</v>
      </c>
      <c r="E54" s="30">
        <f t="shared" si="6"/>
        <v>440</v>
      </c>
      <c r="F54" s="22">
        <v>550</v>
      </c>
      <c r="G54" s="30">
        <f t="shared" si="7"/>
        <v>440</v>
      </c>
      <c r="H54" s="30">
        <v>510</v>
      </c>
      <c r="I54" s="30">
        <f t="shared" si="8"/>
        <v>408</v>
      </c>
      <c r="J54" s="28">
        <v>580</v>
      </c>
      <c r="K54" s="28">
        <f t="shared" si="9"/>
        <v>464</v>
      </c>
      <c r="L54" s="28">
        <v>620</v>
      </c>
      <c r="M54" s="28">
        <f t="shared" si="10"/>
        <v>496</v>
      </c>
      <c r="N54" s="28">
        <v>650</v>
      </c>
      <c r="O54" s="28">
        <f t="shared" si="11"/>
        <v>520</v>
      </c>
      <c r="P54" s="28">
        <v>688</v>
      </c>
      <c r="Q54" s="88">
        <f t="shared" si="12"/>
        <v>550.4</v>
      </c>
    </row>
    <row r="55" spans="1:17" x14ac:dyDescent="0.15">
      <c r="A55" s="32" t="s">
        <v>129</v>
      </c>
      <c r="B55" s="22">
        <v>580</v>
      </c>
      <c r="C55" s="30">
        <f t="shared" si="5"/>
        <v>464</v>
      </c>
      <c r="D55" s="22">
        <v>625</v>
      </c>
      <c r="E55" s="30">
        <f t="shared" si="6"/>
        <v>500</v>
      </c>
      <c r="F55" s="22">
        <v>625</v>
      </c>
      <c r="G55" s="30">
        <f t="shared" si="7"/>
        <v>500</v>
      </c>
      <c r="H55" s="30">
        <v>570</v>
      </c>
      <c r="I55" s="30">
        <f t="shared" si="8"/>
        <v>456</v>
      </c>
      <c r="J55" s="28">
        <v>650</v>
      </c>
      <c r="K55" s="28">
        <f t="shared" si="9"/>
        <v>520</v>
      </c>
      <c r="L55" s="28">
        <v>700</v>
      </c>
      <c r="M55" s="28">
        <f t="shared" si="10"/>
        <v>560</v>
      </c>
      <c r="N55" s="28">
        <v>730</v>
      </c>
      <c r="O55" s="28">
        <f t="shared" si="11"/>
        <v>584</v>
      </c>
      <c r="P55" s="28">
        <v>750</v>
      </c>
      <c r="Q55" s="28">
        <f t="shared" si="12"/>
        <v>600</v>
      </c>
    </row>
    <row r="56" spans="1:17" x14ac:dyDescent="0.15">
      <c r="A56" s="32" t="s">
        <v>130</v>
      </c>
      <c r="B56" s="22">
        <v>640</v>
      </c>
      <c r="C56" s="30">
        <f t="shared" si="5"/>
        <v>512</v>
      </c>
      <c r="D56" s="22">
        <v>688</v>
      </c>
      <c r="E56" s="30">
        <f t="shared" si="6"/>
        <v>550.4</v>
      </c>
      <c r="F56" s="22">
        <v>688</v>
      </c>
      <c r="G56" s="30">
        <f t="shared" si="7"/>
        <v>550.4</v>
      </c>
      <c r="H56" s="30">
        <v>630</v>
      </c>
      <c r="I56" s="30">
        <f t="shared" si="8"/>
        <v>504</v>
      </c>
      <c r="J56" s="28">
        <v>730</v>
      </c>
      <c r="K56" s="28">
        <f t="shared" si="9"/>
        <v>584</v>
      </c>
      <c r="L56" s="28">
        <v>780</v>
      </c>
      <c r="M56" s="28">
        <f t="shared" si="10"/>
        <v>624</v>
      </c>
      <c r="N56" s="28">
        <v>815</v>
      </c>
      <c r="O56" s="28">
        <f t="shared" si="11"/>
        <v>652</v>
      </c>
      <c r="P56" s="28">
        <v>850</v>
      </c>
      <c r="Q56" s="28">
        <f t="shared" si="12"/>
        <v>680</v>
      </c>
    </row>
    <row r="57" spans="1:17" x14ac:dyDescent="0.15">
      <c r="A57" s="32" t="s">
        <v>131</v>
      </c>
      <c r="B57" s="22">
        <v>730</v>
      </c>
      <c r="C57" s="30">
        <f t="shared" si="5"/>
        <v>584</v>
      </c>
      <c r="D57" s="22">
        <v>760</v>
      </c>
      <c r="E57" s="30">
        <f t="shared" si="6"/>
        <v>608</v>
      </c>
      <c r="F57" s="22">
        <v>760</v>
      </c>
      <c r="G57" s="30">
        <f t="shared" si="7"/>
        <v>608</v>
      </c>
      <c r="H57" s="30">
        <v>720</v>
      </c>
      <c r="I57" s="30">
        <f t="shared" si="8"/>
        <v>576</v>
      </c>
      <c r="J57" s="28">
        <v>820</v>
      </c>
      <c r="K57" s="28">
        <f t="shared" si="9"/>
        <v>656</v>
      </c>
      <c r="L57" s="28">
        <v>860</v>
      </c>
      <c r="M57" s="28">
        <f t="shared" si="10"/>
        <v>688</v>
      </c>
      <c r="N57" s="28">
        <v>900</v>
      </c>
      <c r="O57" s="28">
        <f t="shared" si="11"/>
        <v>720</v>
      </c>
      <c r="P57" s="28">
        <v>950</v>
      </c>
      <c r="Q57" s="28">
        <f t="shared" si="12"/>
        <v>760</v>
      </c>
    </row>
    <row r="58" spans="1:17" ht="15" customHeight="1" x14ac:dyDescent="0.15">
      <c r="A58" s="32" t="s">
        <v>132</v>
      </c>
      <c r="B58" s="22">
        <v>812</v>
      </c>
      <c r="C58" s="30">
        <f t="shared" si="5"/>
        <v>649.6</v>
      </c>
      <c r="D58" s="22">
        <v>850</v>
      </c>
      <c r="E58" s="30">
        <f t="shared" si="6"/>
        <v>680</v>
      </c>
      <c r="F58" s="22">
        <v>850</v>
      </c>
      <c r="G58" s="30">
        <f t="shared" si="7"/>
        <v>680</v>
      </c>
      <c r="H58" s="30">
        <v>812</v>
      </c>
      <c r="I58" s="87">
        <f t="shared" si="8"/>
        <v>649.6</v>
      </c>
      <c r="J58" s="28">
        <v>880</v>
      </c>
      <c r="K58" s="28">
        <f t="shared" si="9"/>
        <v>704</v>
      </c>
      <c r="L58" s="28">
        <v>940</v>
      </c>
      <c r="M58" s="28">
        <f t="shared" si="10"/>
        <v>752</v>
      </c>
      <c r="N58" s="28">
        <v>980</v>
      </c>
      <c r="O58" s="28">
        <f t="shared" si="11"/>
        <v>784</v>
      </c>
      <c r="P58" s="28">
        <v>1010</v>
      </c>
      <c r="Q58" s="28">
        <f t="shared" si="12"/>
        <v>808</v>
      </c>
    </row>
    <row r="59" spans="1:17" ht="19.5" customHeight="1" x14ac:dyDescent="0.15">
      <c r="A59" s="6"/>
      <c r="B59" s="6"/>
      <c r="C59" s="5"/>
      <c r="D59" s="6"/>
      <c r="E59" s="5"/>
      <c r="F59" s="6"/>
      <c r="G59" s="5"/>
      <c r="H59" s="5"/>
      <c r="I59" s="5"/>
      <c r="J59" s="4"/>
      <c r="K59" s="4"/>
      <c r="L59" s="4"/>
      <c r="M59" s="4"/>
      <c r="N59" s="4"/>
      <c r="O59" s="4"/>
      <c r="P59" s="4"/>
      <c r="Q59" s="4"/>
    </row>
    <row r="60" spans="1:17" ht="15.75" customHeight="1" x14ac:dyDescent="0.15">
      <c r="A60" s="32" t="s">
        <v>133</v>
      </c>
      <c r="B60" s="23">
        <v>955</v>
      </c>
      <c r="C60" s="39">
        <f>B60*0.8</f>
        <v>764</v>
      </c>
      <c r="D60" s="23">
        <v>1005</v>
      </c>
      <c r="E60" s="39">
        <f>D60*0.8</f>
        <v>804</v>
      </c>
      <c r="F60" s="23">
        <v>1010</v>
      </c>
      <c r="G60" s="39">
        <f t="shared" ref="G60:G66" si="13">F60*0.8</f>
        <v>808</v>
      </c>
      <c r="H60" s="39">
        <v>990</v>
      </c>
      <c r="I60" s="39">
        <f t="shared" ref="I60:I66" si="14">H60*0.8</f>
        <v>792</v>
      </c>
      <c r="J60" s="73">
        <v>1190</v>
      </c>
      <c r="K60" s="73">
        <f>J60*0.8</f>
        <v>952</v>
      </c>
      <c r="L60" s="73">
        <v>1170</v>
      </c>
      <c r="M60" s="73">
        <f>L60*0.8</f>
        <v>936</v>
      </c>
      <c r="N60" s="73">
        <v>1190</v>
      </c>
      <c r="O60" s="73">
        <f t="shared" ref="O60:O66" si="15">N60*0.8</f>
        <v>952</v>
      </c>
      <c r="P60" s="73">
        <v>1215</v>
      </c>
      <c r="Q60" s="73">
        <f t="shared" ref="Q60:Q66" si="16">P60*0.8</f>
        <v>972</v>
      </c>
    </row>
    <row r="61" spans="1:17" ht="15.75" customHeight="1" x14ac:dyDescent="0.15">
      <c r="A61" s="32" t="s">
        <v>134</v>
      </c>
      <c r="B61" s="23">
        <v>1080</v>
      </c>
      <c r="C61" s="39">
        <f t="shared" ref="C61:E66" si="17">B61*0.8</f>
        <v>864</v>
      </c>
      <c r="D61" s="23">
        <v>1115</v>
      </c>
      <c r="E61" s="39">
        <f t="shared" si="17"/>
        <v>892</v>
      </c>
      <c r="F61" s="23">
        <v>1115</v>
      </c>
      <c r="G61" s="39">
        <f t="shared" si="13"/>
        <v>892</v>
      </c>
      <c r="H61" s="39">
        <v>1095</v>
      </c>
      <c r="I61" s="39">
        <f t="shared" si="14"/>
        <v>876</v>
      </c>
      <c r="J61" s="73">
        <v>1225</v>
      </c>
      <c r="K61" s="73">
        <f t="shared" ref="K61:M66" si="18">J61*0.8</f>
        <v>980</v>
      </c>
      <c r="L61" s="73">
        <v>1305</v>
      </c>
      <c r="M61" s="73">
        <f t="shared" si="18"/>
        <v>1044</v>
      </c>
      <c r="N61" s="73">
        <v>1335</v>
      </c>
      <c r="O61" s="73">
        <f t="shared" si="15"/>
        <v>1068</v>
      </c>
      <c r="P61" s="73">
        <v>1360</v>
      </c>
      <c r="Q61" s="73">
        <f t="shared" si="16"/>
        <v>1088</v>
      </c>
    </row>
    <row r="62" spans="1:17" ht="15.75" customHeight="1" x14ac:dyDescent="0.15">
      <c r="A62" s="32" t="s">
        <v>135</v>
      </c>
      <c r="B62" s="23">
        <v>1150</v>
      </c>
      <c r="C62" s="39">
        <f t="shared" si="17"/>
        <v>920</v>
      </c>
      <c r="D62" s="23">
        <v>1190</v>
      </c>
      <c r="E62" s="39">
        <f t="shared" si="17"/>
        <v>952</v>
      </c>
      <c r="F62" s="23">
        <v>1190</v>
      </c>
      <c r="G62" s="39">
        <f t="shared" si="13"/>
        <v>952</v>
      </c>
      <c r="H62" s="39">
        <v>1165</v>
      </c>
      <c r="I62" s="39">
        <f t="shared" si="14"/>
        <v>932</v>
      </c>
      <c r="J62" s="73">
        <v>1305</v>
      </c>
      <c r="K62" s="73">
        <f t="shared" si="18"/>
        <v>1044</v>
      </c>
      <c r="L62" s="73">
        <v>1390</v>
      </c>
      <c r="M62" s="73">
        <f t="shared" si="18"/>
        <v>1112</v>
      </c>
      <c r="N62" s="73">
        <v>1420</v>
      </c>
      <c r="O62" s="73">
        <f t="shared" si="15"/>
        <v>1136</v>
      </c>
      <c r="P62" s="73">
        <v>1450</v>
      </c>
      <c r="Q62" s="73">
        <f t="shared" si="16"/>
        <v>1160</v>
      </c>
    </row>
    <row r="63" spans="1:17" ht="15.75" customHeight="1" x14ac:dyDescent="0.15">
      <c r="A63" s="32" t="s">
        <v>136</v>
      </c>
      <c r="B63" s="23">
        <v>1325</v>
      </c>
      <c r="C63" s="39">
        <f t="shared" si="17"/>
        <v>1060</v>
      </c>
      <c r="D63" s="23">
        <v>1370</v>
      </c>
      <c r="E63" s="39">
        <f t="shared" si="17"/>
        <v>1096</v>
      </c>
      <c r="F63" s="23">
        <v>1370</v>
      </c>
      <c r="G63" s="39">
        <f t="shared" si="13"/>
        <v>1096</v>
      </c>
      <c r="H63" s="39">
        <v>1340</v>
      </c>
      <c r="I63" s="39">
        <f t="shared" si="14"/>
        <v>1072</v>
      </c>
      <c r="J63" s="73">
        <v>1490</v>
      </c>
      <c r="K63" s="73">
        <f t="shared" si="18"/>
        <v>1192</v>
      </c>
      <c r="L63" s="73">
        <v>1590</v>
      </c>
      <c r="M63" s="73">
        <f t="shared" si="18"/>
        <v>1272</v>
      </c>
      <c r="N63" s="73">
        <v>1620</v>
      </c>
      <c r="O63" s="73">
        <f t="shared" si="15"/>
        <v>1296</v>
      </c>
      <c r="P63" s="73">
        <v>1655</v>
      </c>
      <c r="Q63" s="73">
        <f t="shared" si="16"/>
        <v>1324</v>
      </c>
    </row>
    <row r="64" spans="1:17" ht="15.75" customHeight="1" x14ac:dyDescent="0.15">
      <c r="A64" s="32" t="s">
        <v>137</v>
      </c>
      <c r="B64" s="23">
        <v>1450</v>
      </c>
      <c r="C64" s="39">
        <f t="shared" si="17"/>
        <v>1160</v>
      </c>
      <c r="D64" s="23">
        <v>1495</v>
      </c>
      <c r="E64" s="39">
        <f t="shared" si="17"/>
        <v>1196</v>
      </c>
      <c r="F64" s="23">
        <v>1495</v>
      </c>
      <c r="G64" s="39">
        <f t="shared" si="13"/>
        <v>1196</v>
      </c>
      <c r="H64" s="39">
        <v>1460</v>
      </c>
      <c r="I64" s="39">
        <f t="shared" si="14"/>
        <v>1168</v>
      </c>
      <c r="J64" s="73">
        <v>1685</v>
      </c>
      <c r="K64" s="73">
        <f t="shared" si="18"/>
        <v>1348</v>
      </c>
      <c r="L64" s="73">
        <v>1795</v>
      </c>
      <c r="M64" s="73">
        <f t="shared" si="18"/>
        <v>1436</v>
      </c>
      <c r="N64" s="73">
        <v>1835</v>
      </c>
      <c r="O64" s="73">
        <f t="shared" si="15"/>
        <v>1468</v>
      </c>
      <c r="P64" s="73">
        <v>1870</v>
      </c>
      <c r="Q64" s="73">
        <f t="shared" si="16"/>
        <v>1496</v>
      </c>
    </row>
    <row r="65" spans="1:17" ht="15.75" customHeight="1" x14ac:dyDescent="0.15">
      <c r="A65" s="32" t="s">
        <v>138</v>
      </c>
      <c r="B65" s="23">
        <v>1535</v>
      </c>
      <c r="C65" s="39">
        <f t="shared" si="17"/>
        <v>1228</v>
      </c>
      <c r="D65" s="23">
        <v>1585</v>
      </c>
      <c r="E65" s="39">
        <f t="shared" si="17"/>
        <v>1268</v>
      </c>
      <c r="F65" s="23">
        <v>1585</v>
      </c>
      <c r="G65" s="39">
        <f t="shared" si="13"/>
        <v>1268</v>
      </c>
      <c r="H65" s="39">
        <v>1550</v>
      </c>
      <c r="I65" s="39">
        <f t="shared" si="14"/>
        <v>1240</v>
      </c>
      <c r="J65" s="73">
        <v>1780</v>
      </c>
      <c r="K65" s="73">
        <f t="shared" si="18"/>
        <v>1424</v>
      </c>
      <c r="L65" s="73">
        <v>1900</v>
      </c>
      <c r="M65" s="73">
        <f t="shared" si="18"/>
        <v>1520</v>
      </c>
      <c r="N65" s="73">
        <v>1940</v>
      </c>
      <c r="O65" s="73">
        <f t="shared" si="15"/>
        <v>1552</v>
      </c>
      <c r="P65" s="73">
        <v>1980</v>
      </c>
      <c r="Q65" s="73">
        <f t="shared" si="16"/>
        <v>1584</v>
      </c>
    </row>
    <row r="66" spans="1:17" ht="15.75" customHeight="1" x14ac:dyDescent="0.15">
      <c r="A66" s="32" t="s">
        <v>139</v>
      </c>
      <c r="B66" s="23">
        <f>B65+50</f>
        <v>1585</v>
      </c>
      <c r="C66" s="39">
        <f t="shared" si="17"/>
        <v>1268</v>
      </c>
      <c r="D66" s="23">
        <f>D65+50</f>
        <v>1635</v>
      </c>
      <c r="E66" s="39">
        <f t="shared" si="17"/>
        <v>1308</v>
      </c>
      <c r="F66" s="23">
        <f>F65+50</f>
        <v>1635</v>
      </c>
      <c r="G66" s="39">
        <f t="shared" si="13"/>
        <v>1308</v>
      </c>
      <c r="H66" s="23">
        <f>H65+50</f>
        <v>1600</v>
      </c>
      <c r="I66" s="39">
        <f t="shared" si="14"/>
        <v>1280</v>
      </c>
      <c r="J66" s="73">
        <f>J65+60</f>
        <v>1840</v>
      </c>
      <c r="K66" s="73">
        <f t="shared" si="18"/>
        <v>1472</v>
      </c>
      <c r="L66" s="73">
        <f>L65+60</f>
        <v>1960</v>
      </c>
      <c r="M66" s="73">
        <f>L66*0.8</f>
        <v>1568</v>
      </c>
      <c r="N66" s="73">
        <f>N65+60</f>
        <v>2000</v>
      </c>
      <c r="O66" s="73">
        <f t="shared" si="15"/>
        <v>1600</v>
      </c>
      <c r="P66" s="73">
        <f>P65+60</f>
        <v>2040</v>
      </c>
      <c r="Q66" s="73">
        <f t="shared" si="16"/>
        <v>1632</v>
      </c>
    </row>
    <row r="67" spans="1:17" ht="19.5" customHeight="1" x14ac:dyDescent="0.15">
      <c r="A67" s="69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</row>
    <row r="68" spans="1:17" x14ac:dyDescent="0.15">
      <c r="A68" s="57" t="s">
        <v>56</v>
      </c>
    </row>
    <row r="69" spans="1:17" x14ac:dyDescent="0.15">
      <c r="A69" s="57" t="s">
        <v>140</v>
      </c>
    </row>
    <row r="70" spans="1:17" x14ac:dyDescent="0.15">
      <c r="A70" s="57" t="s">
        <v>141</v>
      </c>
    </row>
    <row r="71" spans="1:17" x14ac:dyDescent="0.15">
      <c r="A71" s="57" t="s">
        <v>142</v>
      </c>
    </row>
    <row r="72" spans="1:17" x14ac:dyDescent="0.15">
      <c r="A72" s="57" t="s">
        <v>143</v>
      </c>
    </row>
    <row r="73" spans="1:17" x14ac:dyDescent="0.15">
      <c r="A73" s="57" t="s">
        <v>180</v>
      </c>
    </row>
    <row r="74" spans="1:17" x14ac:dyDescent="0.15">
      <c r="A74" s="57" t="s">
        <v>171</v>
      </c>
    </row>
    <row r="75" spans="1:17" x14ac:dyDescent="0.15">
      <c r="A75" s="57" t="s">
        <v>170</v>
      </c>
    </row>
    <row r="76" spans="1:17" x14ac:dyDescent="0.15">
      <c r="A76" s="57" t="s">
        <v>169</v>
      </c>
    </row>
  </sheetData>
  <mergeCells count="125">
    <mergeCell ref="N50:O50"/>
    <mergeCell ref="P50:Q50"/>
    <mergeCell ref="B51:C51"/>
    <mergeCell ref="D51:E51"/>
    <mergeCell ref="F51:G51"/>
    <mergeCell ref="H51:I51"/>
    <mergeCell ref="J51:K51"/>
    <mergeCell ref="L51:M51"/>
    <mergeCell ref="N51:O51"/>
    <mergeCell ref="P51:Q51"/>
    <mergeCell ref="B50:C50"/>
    <mergeCell ref="D50:E50"/>
    <mergeCell ref="F50:G50"/>
    <mergeCell ref="H50:I50"/>
    <mergeCell ref="J50:K50"/>
    <mergeCell ref="L50:M50"/>
    <mergeCell ref="N48:O48"/>
    <mergeCell ref="P48:Q48"/>
    <mergeCell ref="B49:C49"/>
    <mergeCell ref="D49:E49"/>
    <mergeCell ref="F49:G49"/>
    <mergeCell ref="H49:I49"/>
    <mergeCell ref="J49:K49"/>
    <mergeCell ref="L49:M49"/>
    <mergeCell ref="N49:O49"/>
    <mergeCell ref="P49:Q49"/>
    <mergeCell ref="B48:C48"/>
    <mergeCell ref="D48:E48"/>
    <mergeCell ref="F48:G48"/>
    <mergeCell ref="H48:I48"/>
    <mergeCell ref="J48:K48"/>
    <mergeCell ref="L48:M48"/>
    <mergeCell ref="N46:O46"/>
    <mergeCell ref="P46:Q46"/>
    <mergeCell ref="B47:C47"/>
    <mergeCell ref="D47:E47"/>
    <mergeCell ref="F47:G47"/>
    <mergeCell ref="H47:I47"/>
    <mergeCell ref="J47:K47"/>
    <mergeCell ref="L47:M47"/>
    <mergeCell ref="N47:O47"/>
    <mergeCell ref="P47:Q47"/>
    <mergeCell ref="B46:C46"/>
    <mergeCell ref="D46:E46"/>
    <mergeCell ref="F46:G46"/>
    <mergeCell ref="H46:I46"/>
    <mergeCell ref="J46:K46"/>
    <mergeCell ref="L46:M46"/>
    <mergeCell ref="B43:I43"/>
    <mergeCell ref="J43:Q43"/>
    <mergeCell ref="B44:C44"/>
    <mergeCell ref="D44:E44"/>
    <mergeCell ref="F44:G44"/>
    <mergeCell ref="H44:I44"/>
    <mergeCell ref="J44:K44"/>
    <mergeCell ref="L44:M44"/>
    <mergeCell ref="N44:O44"/>
    <mergeCell ref="P44:Q44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1:C11"/>
    <mergeCell ref="D11:E11"/>
    <mergeCell ref="F11:G11"/>
    <mergeCell ref="H11:I11"/>
    <mergeCell ref="J11:K11"/>
    <mergeCell ref="L11:M11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9:C9"/>
    <mergeCell ref="D9:E9"/>
    <mergeCell ref="F9:G9"/>
    <mergeCell ref="H9:I9"/>
    <mergeCell ref="J9:K9"/>
    <mergeCell ref="L9:M9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7:C7"/>
    <mergeCell ref="D7:E7"/>
    <mergeCell ref="F7:G7"/>
    <mergeCell ref="H7:I7"/>
    <mergeCell ref="J7:K7"/>
    <mergeCell ref="L7:M7"/>
    <mergeCell ref="P4:Q4"/>
    <mergeCell ref="B6:C6"/>
    <mergeCell ref="D6:E6"/>
    <mergeCell ref="F6:G6"/>
    <mergeCell ref="H6:I6"/>
    <mergeCell ref="J6:K6"/>
    <mergeCell ref="L6:M6"/>
    <mergeCell ref="N6:O6"/>
    <mergeCell ref="P6:Q6"/>
    <mergeCell ref="A1:Q1"/>
    <mergeCell ref="B3:I3"/>
    <mergeCell ref="J3:Q3"/>
    <mergeCell ref="B4:C4"/>
    <mergeCell ref="D4:E4"/>
    <mergeCell ref="F4:G4"/>
    <mergeCell ref="H4:I4"/>
    <mergeCell ref="J4:K4"/>
    <mergeCell ref="L4:M4"/>
    <mergeCell ref="N4:O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"/>
  <sheetViews>
    <sheetView topLeftCell="A40" workbookViewId="0">
      <selection activeCell="H16" sqref="H16"/>
    </sheetView>
  </sheetViews>
  <sheetFormatPr defaultColWidth="9" defaultRowHeight="14.25" x14ac:dyDescent="0.15"/>
  <cols>
    <col min="1" max="1" width="22.875" customWidth="1"/>
    <col min="2" max="7" width="5.75" customWidth="1"/>
    <col min="8" max="8" width="7" customWidth="1"/>
    <col min="9" max="10" width="6.625" customWidth="1"/>
    <col min="11" max="11" width="5.5" customWidth="1"/>
    <col min="12" max="12" width="7.125" customWidth="1"/>
    <col min="13" max="13" width="6.125" customWidth="1"/>
    <col min="14" max="17" width="6.5" customWidth="1"/>
  </cols>
  <sheetData>
    <row r="1" spans="1:17" ht="24.75" customHeight="1" x14ac:dyDescent="0.15">
      <c r="A1" s="165" t="s">
        <v>125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7" ht="15" customHeight="1" x14ac:dyDescent="0.15">
      <c r="A2" s="74"/>
      <c r="B2" s="75" t="s">
        <v>181</v>
      </c>
      <c r="C2" s="76"/>
      <c r="E2" s="76"/>
      <c r="F2" s="76"/>
      <c r="G2" s="77" t="s">
        <v>126</v>
      </c>
      <c r="H2" s="76"/>
      <c r="J2" s="77" t="s">
        <v>173</v>
      </c>
      <c r="L2" s="78"/>
      <c r="N2" s="76"/>
    </row>
    <row r="3" spans="1:17" ht="15" customHeight="1" x14ac:dyDescent="0.15">
      <c r="A3" s="24" t="s">
        <v>68</v>
      </c>
      <c r="B3" s="139" t="s">
        <v>66</v>
      </c>
      <c r="C3" s="140"/>
      <c r="D3" s="140"/>
      <c r="E3" s="140"/>
      <c r="F3" s="140"/>
      <c r="G3" s="140"/>
      <c r="H3" s="140"/>
      <c r="I3" s="141"/>
      <c r="J3" s="128" t="s">
        <v>172</v>
      </c>
      <c r="K3" s="140"/>
      <c r="L3" s="140"/>
      <c r="M3" s="140"/>
      <c r="N3" s="140"/>
      <c r="O3" s="140"/>
      <c r="P3" s="140"/>
      <c r="Q3" s="141"/>
    </row>
    <row r="4" spans="1:17" ht="15" customHeight="1" x14ac:dyDescent="0.15">
      <c r="A4" s="24" t="s">
        <v>58</v>
      </c>
      <c r="B4" s="128">
        <v>0.8</v>
      </c>
      <c r="C4" s="129"/>
      <c r="D4" s="128">
        <v>0.8</v>
      </c>
      <c r="E4" s="129"/>
      <c r="F4" s="128">
        <v>0.8</v>
      </c>
      <c r="G4" s="129"/>
      <c r="H4" s="128">
        <v>0.8</v>
      </c>
      <c r="I4" s="129"/>
      <c r="J4" s="130">
        <v>0.8</v>
      </c>
      <c r="K4" s="131"/>
      <c r="L4" s="130">
        <v>0.8</v>
      </c>
      <c r="M4" s="131"/>
      <c r="N4" s="130">
        <v>0.8</v>
      </c>
      <c r="O4" s="131"/>
      <c r="P4" s="130">
        <v>0.8</v>
      </c>
      <c r="Q4" s="131"/>
    </row>
    <row r="5" spans="1:17" ht="15" customHeight="1" x14ac:dyDescent="0.15">
      <c r="A5" s="24" t="s">
        <v>59</v>
      </c>
      <c r="B5" s="17"/>
      <c r="C5" s="18"/>
      <c r="D5" s="17"/>
      <c r="E5" s="18"/>
      <c r="F5" s="17"/>
      <c r="G5" s="18"/>
      <c r="H5" s="53"/>
      <c r="I5" s="53"/>
      <c r="J5" s="20"/>
      <c r="K5" s="21"/>
      <c r="L5" s="20"/>
      <c r="M5" s="21"/>
      <c r="N5" s="20"/>
      <c r="O5" s="21"/>
      <c r="P5" s="20"/>
      <c r="Q5" s="21"/>
    </row>
    <row r="6" spans="1:17" ht="15" customHeight="1" x14ac:dyDescent="0.15">
      <c r="A6" s="24" t="s">
        <v>104</v>
      </c>
      <c r="B6" s="128">
        <v>380</v>
      </c>
      <c r="C6" s="129"/>
      <c r="D6" s="137">
        <v>400</v>
      </c>
      <c r="E6" s="137"/>
      <c r="F6" s="128">
        <v>415</v>
      </c>
      <c r="G6" s="129"/>
      <c r="H6" s="128">
        <v>440</v>
      </c>
      <c r="I6" s="129"/>
      <c r="J6" s="126">
        <v>416</v>
      </c>
      <c r="K6" s="127"/>
      <c r="L6" s="130">
        <v>440</v>
      </c>
      <c r="M6" s="131"/>
      <c r="N6" s="130">
        <v>460</v>
      </c>
      <c r="O6" s="131"/>
      <c r="P6" s="130">
        <v>480</v>
      </c>
      <c r="Q6" s="131"/>
    </row>
    <row r="7" spans="1:17" ht="15" customHeight="1" x14ac:dyDescent="0.15">
      <c r="A7" s="24" t="s">
        <v>105</v>
      </c>
      <c r="B7" s="128">
        <v>220</v>
      </c>
      <c r="C7" s="129"/>
      <c r="D7" s="128">
        <v>230</v>
      </c>
      <c r="E7" s="129"/>
      <c r="F7" s="128">
        <v>240</v>
      </c>
      <c r="G7" s="129"/>
      <c r="H7" s="128">
        <v>254</v>
      </c>
      <c r="I7" s="129"/>
      <c r="J7" s="126">
        <v>240</v>
      </c>
      <c r="K7" s="127"/>
      <c r="L7" s="126">
        <v>254</v>
      </c>
      <c r="M7" s="127"/>
      <c r="N7" s="126">
        <v>266</v>
      </c>
      <c r="O7" s="127"/>
      <c r="P7" s="126">
        <v>277</v>
      </c>
      <c r="Q7" s="127"/>
    </row>
    <row r="8" spans="1:17" ht="15" customHeight="1" x14ac:dyDescent="0.15">
      <c r="A8" s="24" t="s">
        <v>106</v>
      </c>
      <c r="B8" s="128">
        <v>380</v>
      </c>
      <c r="C8" s="129"/>
      <c r="D8" s="128">
        <v>400</v>
      </c>
      <c r="E8" s="129"/>
      <c r="F8" s="128">
        <v>415</v>
      </c>
      <c r="G8" s="129"/>
      <c r="H8" s="128">
        <v>440</v>
      </c>
      <c r="I8" s="129"/>
      <c r="J8" s="126">
        <v>416</v>
      </c>
      <c r="K8" s="127"/>
      <c r="L8" s="130">
        <v>440</v>
      </c>
      <c r="M8" s="131"/>
      <c r="N8" s="130">
        <v>460</v>
      </c>
      <c r="O8" s="131"/>
      <c r="P8" s="130">
        <v>480</v>
      </c>
      <c r="Q8" s="131"/>
    </row>
    <row r="9" spans="1:17" ht="15" customHeight="1" x14ac:dyDescent="0.15">
      <c r="A9" s="24" t="s">
        <v>107</v>
      </c>
      <c r="B9" s="128">
        <v>190</v>
      </c>
      <c r="C9" s="129"/>
      <c r="D9" s="128">
        <v>200</v>
      </c>
      <c r="E9" s="129"/>
      <c r="F9" s="128">
        <v>208</v>
      </c>
      <c r="G9" s="129"/>
      <c r="H9" s="128">
        <v>220</v>
      </c>
      <c r="I9" s="129"/>
      <c r="J9" s="126">
        <v>208</v>
      </c>
      <c r="K9" s="127"/>
      <c r="L9" s="126">
        <v>220</v>
      </c>
      <c r="M9" s="127"/>
      <c r="N9" s="126">
        <v>230</v>
      </c>
      <c r="O9" s="127"/>
      <c r="P9" s="126">
        <v>240</v>
      </c>
      <c r="Q9" s="127"/>
    </row>
    <row r="10" spans="1:17" ht="15" customHeight="1" x14ac:dyDescent="0.15">
      <c r="A10" s="25" t="s">
        <v>62</v>
      </c>
      <c r="B10" s="128">
        <v>220</v>
      </c>
      <c r="C10" s="129"/>
      <c r="D10" s="128">
        <v>230</v>
      </c>
      <c r="E10" s="129"/>
      <c r="F10" s="128">
        <v>240</v>
      </c>
      <c r="G10" s="129"/>
      <c r="H10" s="128">
        <v>254</v>
      </c>
      <c r="I10" s="129"/>
      <c r="J10" s="126">
        <v>240</v>
      </c>
      <c r="K10" s="127"/>
      <c r="L10" s="126">
        <v>254</v>
      </c>
      <c r="M10" s="127"/>
      <c r="N10" s="126">
        <v>266</v>
      </c>
      <c r="O10" s="127"/>
      <c r="P10" s="126">
        <v>277</v>
      </c>
      <c r="Q10" s="127"/>
    </row>
    <row r="11" spans="1:17" ht="15" customHeight="1" x14ac:dyDescent="0.15">
      <c r="A11" s="68" t="s">
        <v>115</v>
      </c>
      <c r="B11" s="128">
        <f>B10/2</f>
        <v>110</v>
      </c>
      <c r="C11" s="129"/>
      <c r="D11" s="128">
        <f>D10/2</f>
        <v>115</v>
      </c>
      <c r="E11" s="129"/>
      <c r="F11" s="128">
        <f>F10/2</f>
        <v>120</v>
      </c>
      <c r="G11" s="129"/>
      <c r="H11" s="128">
        <f>H10/2</f>
        <v>127</v>
      </c>
      <c r="I11" s="129"/>
      <c r="J11" s="126">
        <f>J10/2</f>
        <v>120</v>
      </c>
      <c r="K11" s="127"/>
      <c r="L11" s="126">
        <f>L10/2</f>
        <v>127</v>
      </c>
      <c r="M11" s="127"/>
      <c r="N11" s="126">
        <f>N10/2</f>
        <v>133</v>
      </c>
      <c r="O11" s="127"/>
      <c r="P11" s="126">
        <f>P10/2</f>
        <v>138.5</v>
      </c>
      <c r="Q11" s="127"/>
    </row>
    <row r="12" spans="1:17" ht="15" customHeight="1" x14ac:dyDescent="0.15">
      <c r="A12" s="25" t="s">
        <v>63</v>
      </c>
      <c r="B12" s="128">
        <v>11</v>
      </c>
      <c r="C12" s="129"/>
      <c r="D12" s="128">
        <v>11</v>
      </c>
      <c r="E12" s="129"/>
      <c r="F12" s="128">
        <v>11</v>
      </c>
      <c r="G12" s="129"/>
      <c r="H12" s="128">
        <v>11</v>
      </c>
      <c r="I12" s="129"/>
      <c r="J12" s="126">
        <v>11</v>
      </c>
      <c r="K12" s="127"/>
      <c r="L12" s="126">
        <v>11</v>
      </c>
      <c r="M12" s="127"/>
      <c r="N12" s="126">
        <v>11</v>
      </c>
      <c r="O12" s="127"/>
      <c r="P12" s="126">
        <v>11</v>
      </c>
      <c r="Q12" s="127"/>
    </row>
    <row r="13" spans="1:17" ht="15" customHeight="1" x14ac:dyDescent="0.15">
      <c r="A13" s="36" t="s">
        <v>64</v>
      </c>
      <c r="B13" s="19" t="s">
        <v>0</v>
      </c>
      <c r="C13" s="19" t="s">
        <v>1</v>
      </c>
      <c r="D13" s="19" t="s">
        <v>0</v>
      </c>
      <c r="E13" s="19" t="s">
        <v>1</v>
      </c>
      <c r="F13" s="19" t="s">
        <v>0</v>
      </c>
      <c r="G13" s="19" t="s">
        <v>1</v>
      </c>
      <c r="H13" s="19" t="s">
        <v>0</v>
      </c>
      <c r="I13" s="19" t="s">
        <v>1</v>
      </c>
      <c r="J13" s="23" t="s">
        <v>0</v>
      </c>
      <c r="K13" s="23" t="s">
        <v>1</v>
      </c>
      <c r="L13" s="23" t="s">
        <v>0</v>
      </c>
      <c r="M13" s="23" t="s">
        <v>1</v>
      </c>
      <c r="N13" s="23" t="s">
        <v>0</v>
      </c>
      <c r="O13" s="23" t="s">
        <v>1</v>
      </c>
      <c r="P13" s="23" t="s">
        <v>0</v>
      </c>
      <c r="Q13" s="23" t="s">
        <v>1</v>
      </c>
    </row>
    <row r="14" spans="1:17" ht="15" customHeight="1" x14ac:dyDescent="0.15">
      <c r="A14" s="31" t="s">
        <v>145</v>
      </c>
      <c r="B14" s="55">
        <v>15</v>
      </c>
      <c r="C14" s="55">
        <f>B14*0.8</f>
        <v>12</v>
      </c>
      <c r="D14" s="55">
        <v>15</v>
      </c>
      <c r="E14" s="55">
        <f>D14*0.8</f>
        <v>12</v>
      </c>
      <c r="F14" s="55">
        <v>15</v>
      </c>
      <c r="G14" s="55">
        <f>F14*0.8</f>
        <v>12</v>
      </c>
      <c r="H14" s="55" t="s">
        <v>174</v>
      </c>
      <c r="I14" s="55" t="s">
        <v>174</v>
      </c>
      <c r="J14" s="58">
        <v>18.3</v>
      </c>
      <c r="K14" s="58">
        <f>J14*0.8</f>
        <v>14.64</v>
      </c>
      <c r="L14" s="58">
        <v>19.3</v>
      </c>
      <c r="M14" s="58">
        <f>L14*0.8</f>
        <v>15.440000000000001</v>
      </c>
      <c r="N14" s="58">
        <v>19.3</v>
      </c>
      <c r="O14" s="82">
        <f>N14*0.8</f>
        <v>15.440000000000001</v>
      </c>
      <c r="P14" s="58">
        <v>19.3</v>
      </c>
      <c r="Q14" s="82">
        <f>P14*0.8</f>
        <v>15.440000000000001</v>
      </c>
    </row>
    <row r="15" spans="1:17" ht="15" customHeight="1" x14ac:dyDescent="0.15">
      <c r="A15" s="31" t="s">
        <v>146</v>
      </c>
      <c r="B15" s="55">
        <v>20</v>
      </c>
      <c r="C15" s="55">
        <f>B15*0.8</f>
        <v>16</v>
      </c>
      <c r="D15" s="55">
        <v>20</v>
      </c>
      <c r="E15" s="55">
        <f>D15*0.8</f>
        <v>16</v>
      </c>
      <c r="F15" s="55">
        <v>20</v>
      </c>
      <c r="G15" s="55">
        <f>F15*0.8</f>
        <v>16</v>
      </c>
      <c r="H15" s="55" t="s">
        <v>174</v>
      </c>
      <c r="I15" s="55" t="s">
        <v>174</v>
      </c>
      <c r="J15" s="58">
        <v>23.1</v>
      </c>
      <c r="K15" s="58">
        <f>J15*0.8</f>
        <v>18.48</v>
      </c>
      <c r="L15" s="58">
        <v>24.5</v>
      </c>
      <c r="M15" s="58">
        <f>L15*0.8</f>
        <v>19.600000000000001</v>
      </c>
      <c r="N15" s="58">
        <v>24.5</v>
      </c>
      <c r="O15" s="82">
        <f>N15*0.8</f>
        <v>19.600000000000001</v>
      </c>
      <c r="P15" s="58">
        <v>24.5</v>
      </c>
      <c r="Q15" s="82">
        <f>P15*0.8</f>
        <v>19.600000000000001</v>
      </c>
    </row>
    <row r="16" spans="1:17" ht="15" customHeight="1" x14ac:dyDescent="0.15">
      <c r="A16" s="31" t="s">
        <v>147</v>
      </c>
      <c r="B16" s="55">
        <v>22.5</v>
      </c>
      <c r="C16" s="55">
        <f>B16*0.8</f>
        <v>18</v>
      </c>
      <c r="D16" s="55">
        <v>22.5</v>
      </c>
      <c r="E16" s="55">
        <v>25</v>
      </c>
      <c r="F16" s="55">
        <v>22.5</v>
      </c>
      <c r="G16" s="55">
        <v>25</v>
      </c>
      <c r="H16" s="55" t="s">
        <v>174</v>
      </c>
      <c r="I16" s="55" t="s">
        <v>174</v>
      </c>
      <c r="J16" s="58">
        <v>26.3</v>
      </c>
      <c r="K16" s="58">
        <f>J16*0.8</f>
        <v>21.040000000000003</v>
      </c>
      <c r="L16" s="58">
        <v>27.8</v>
      </c>
      <c r="M16" s="58">
        <f>L16*0.8</f>
        <v>22.240000000000002</v>
      </c>
      <c r="N16" s="58">
        <v>27.8</v>
      </c>
      <c r="O16" s="82">
        <f>N16*0.8</f>
        <v>22.240000000000002</v>
      </c>
      <c r="P16" s="58">
        <v>27.8</v>
      </c>
      <c r="Q16" s="82">
        <f>P16*0.8</f>
        <v>22.240000000000002</v>
      </c>
    </row>
    <row r="17" spans="1:17" ht="15" customHeight="1" x14ac:dyDescent="0.15">
      <c r="A17" s="31" t="s">
        <v>148</v>
      </c>
      <c r="B17" s="55">
        <v>30.6</v>
      </c>
      <c r="C17" s="55">
        <f>B17*0.8</f>
        <v>24.480000000000004</v>
      </c>
      <c r="D17" s="55">
        <v>30.6</v>
      </c>
      <c r="E17" s="55">
        <f>D17*0.8</f>
        <v>24.480000000000004</v>
      </c>
      <c r="F17" s="55">
        <v>30.6</v>
      </c>
      <c r="G17" s="55">
        <f>F17*0.8</f>
        <v>24.480000000000004</v>
      </c>
      <c r="H17" s="55" t="s">
        <v>174</v>
      </c>
      <c r="I17" s="55" t="s">
        <v>174</v>
      </c>
      <c r="J17" s="58">
        <v>35.9</v>
      </c>
      <c r="K17" s="58">
        <f>J17*0.8</f>
        <v>28.72</v>
      </c>
      <c r="L17" s="58">
        <v>37.799999999999997</v>
      </c>
      <c r="M17" s="58">
        <f>L17*0.8</f>
        <v>30.24</v>
      </c>
      <c r="N17" s="58">
        <v>37.200000000000003</v>
      </c>
      <c r="O17" s="82">
        <f>N17*0.8</f>
        <v>29.760000000000005</v>
      </c>
      <c r="P17" s="58">
        <v>37.799999999999997</v>
      </c>
      <c r="Q17" s="82">
        <f>P17*0.8</f>
        <v>30.24</v>
      </c>
    </row>
    <row r="18" spans="1:17" ht="15" customHeight="1" x14ac:dyDescent="0.15">
      <c r="A18" s="31" t="s">
        <v>149</v>
      </c>
      <c r="B18" s="55">
        <v>30.9</v>
      </c>
      <c r="C18" s="55">
        <f>B18*0.8</f>
        <v>24.72</v>
      </c>
      <c r="D18" s="55">
        <v>32.6</v>
      </c>
      <c r="E18" s="55">
        <f>D18*0.8</f>
        <v>26.080000000000002</v>
      </c>
      <c r="F18" s="55">
        <v>30.9</v>
      </c>
      <c r="G18" s="55">
        <f>F18*0.8</f>
        <v>24.72</v>
      </c>
      <c r="H18" s="55" t="s">
        <v>174</v>
      </c>
      <c r="I18" s="55" t="s">
        <v>174</v>
      </c>
      <c r="J18" s="58">
        <v>36.5</v>
      </c>
      <c r="K18" s="58">
        <f>J18*0.8</f>
        <v>29.200000000000003</v>
      </c>
      <c r="L18" s="58">
        <v>38.700000000000003</v>
      </c>
      <c r="M18" s="58">
        <f>L18*0.8</f>
        <v>30.960000000000004</v>
      </c>
      <c r="N18" s="58">
        <v>38.700000000000003</v>
      </c>
      <c r="O18" s="82">
        <f>N18*0.8</f>
        <v>30.960000000000004</v>
      </c>
      <c r="P18" s="58">
        <v>38.700000000000003</v>
      </c>
      <c r="Q18" s="82">
        <f>P18*0.8</f>
        <v>30.960000000000004</v>
      </c>
    </row>
    <row r="19" spans="1:17" ht="15" customHeight="1" x14ac:dyDescent="0.15">
      <c r="A19" s="31"/>
      <c r="B19" s="55"/>
      <c r="C19" s="55"/>
      <c r="D19" s="55"/>
      <c r="E19" s="55"/>
      <c r="F19" s="55"/>
      <c r="G19" s="55"/>
      <c r="H19" s="55"/>
      <c r="I19" s="55"/>
      <c r="J19" s="58"/>
      <c r="K19" s="58"/>
      <c r="L19" s="58"/>
      <c r="M19" s="58"/>
      <c r="N19" s="58"/>
      <c r="O19" s="58"/>
      <c r="P19" s="58"/>
      <c r="Q19" s="58"/>
    </row>
    <row r="20" spans="1:17" ht="15" customHeight="1" x14ac:dyDescent="0.15">
      <c r="A20" s="31" t="s">
        <v>150</v>
      </c>
      <c r="B20" s="39">
        <v>35</v>
      </c>
      <c r="C20" s="39">
        <f t="shared" ref="C20:C26" si="0">B20*0.8</f>
        <v>28</v>
      </c>
      <c r="D20" s="39">
        <v>35</v>
      </c>
      <c r="E20" s="39">
        <f>D20*0.8</f>
        <v>28</v>
      </c>
      <c r="F20" s="39">
        <v>35</v>
      </c>
      <c r="G20" s="39">
        <f>F20*0.8</f>
        <v>28</v>
      </c>
      <c r="H20" s="39">
        <v>25.5</v>
      </c>
      <c r="I20" s="83">
        <f>H20*0.8</f>
        <v>20.400000000000002</v>
      </c>
      <c r="J20" s="73">
        <v>39.4</v>
      </c>
      <c r="K20" s="73">
        <f>J20*0.8</f>
        <v>31.52</v>
      </c>
      <c r="L20" s="73">
        <v>41.9</v>
      </c>
      <c r="M20" s="73">
        <f>L20*0.8</f>
        <v>33.520000000000003</v>
      </c>
      <c r="N20" s="73">
        <v>43.1</v>
      </c>
      <c r="O20" s="73">
        <f>N20*0.8</f>
        <v>34.480000000000004</v>
      </c>
      <c r="P20" s="73">
        <v>43.1</v>
      </c>
      <c r="Q20" s="84">
        <f>P20*0.8</f>
        <v>34.480000000000004</v>
      </c>
    </row>
    <row r="21" spans="1:17" ht="15" customHeight="1" x14ac:dyDescent="0.15">
      <c r="A21" s="31" t="s">
        <v>151</v>
      </c>
      <c r="B21" s="39">
        <v>40</v>
      </c>
      <c r="C21" s="39">
        <f t="shared" si="0"/>
        <v>32</v>
      </c>
      <c r="D21" s="39">
        <v>40</v>
      </c>
      <c r="E21" s="39">
        <f>D21*0.8</f>
        <v>32</v>
      </c>
      <c r="F21" s="39">
        <v>40</v>
      </c>
      <c r="G21" s="39">
        <f>F21*0.8</f>
        <v>32</v>
      </c>
      <c r="H21" s="39">
        <v>29.7</v>
      </c>
      <c r="I21" s="83">
        <f>H21*0.8</f>
        <v>23.76</v>
      </c>
      <c r="J21" s="73">
        <v>47.5</v>
      </c>
      <c r="K21" s="73">
        <f>J21*0.8</f>
        <v>38</v>
      </c>
      <c r="L21" s="73">
        <v>50</v>
      </c>
      <c r="M21" s="73">
        <f>L21*0.8</f>
        <v>40</v>
      </c>
      <c r="N21" s="73">
        <v>51.3</v>
      </c>
      <c r="O21" s="73">
        <f>N21*0.8</f>
        <v>41.04</v>
      </c>
      <c r="P21" s="73">
        <v>51.3</v>
      </c>
      <c r="Q21" s="84">
        <f>P21*0.8</f>
        <v>41.04</v>
      </c>
    </row>
    <row r="22" spans="1:17" ht="15" customHeight="1" x14ac:dyDescent="0.15">
      <c r="A22" s="31" t="s">
        <v>152</v>
      </c>
      <c r="B22" s="39">
        <v>47.5</v>
      </c>
      <c r="C22" s="39">
        <f t="shared" si="0"/>
        <v>38</v>
      </c>
      <c r="D22" s="39">
        <v>47.5</v>
      </c>
      <c r="E22" s="39">
        <f>D22*0.8</f>
        <v>38</v>
      </c>
      <c r="F22" s="39">
        <v>47.5</v>
      </c>
      <c r="G22" s="39">
        <f>F22*0.8</f>
        <v>38</v>
      </c>
      <c r="H22" s="39">
        <v>36.9</v>
      </c>
      <c r="I22" s="83">
        <f>H22*0.8</f>
        <v>29.52</v>
      </c>
      <c r="J22" s="73">
        <v>53.8</v>
      </c>
      <c r="K22" s="73">
        <f>J22*0.8</f>
        <v>43.04</v>
      </c>
      <c r="L22" s="73">
        <v>56.3</v>
      </c>
      <c r="M22" s="73">
        <f>L22*0.8</f>
        <v>45.04</v>
      </c>
      <c r="N22" s="73">
        <v>58.8</v>
      </c>
      <c r="O22" s="73">
        <f>N22*0.8</f>
        <v>47.04</v>
      </c>
      <c r="P22" s="73">
        <v>58.8</v>
      </c>
      <c r="Q22" s="84">
        <f>P22*0.8</f>
        <v>47.04</v>
      </c>
    </row>
    <row r="23" spans="1:17" ht="15" customHeight="1" x14ac:dyDescent="0.15">
      <c r="A23" s="31" t="s">
        <v>153</v>
      </c>
      <c r="B23" s="39">
        <v>57.5</v>
      </c>
      <c r="C23" s="39">
        <f t="shared" si="0"/>
        <v>46</v>
      </c>
      <c r="D23" s="39">
        <v>57.5</v>
      </c>
      <c r="E23" s="39">
        <f>D23*0.8</f>
        <v>46</v>
      </c>
      <c r="F23" s="39">
        <v>57.5</v>
      </c>
      <c r="G23" s="39">
        <f>F23*0.8</f>
        <v>46</v>
      </c>
      <c r="H23" s="39">
        <v>45.2</v>
      </c>
      <c r="I23" s="83">
        <f>H23*0.8</f>
        <v>36.160000000000004</v>
      </c>
      <c r="J23" s="73">
        <v>65.599999999999994</v>
      </c>
      <c r="K23" s="73">
        <f>J23*0.8</f>
        <v>52.48</v>
      </c>
      <c r="L23" s="73">
        <v>68.8</v>
      </c>
      <c r="M23" s="73">
        <f>L23*0.8</f>
        <v>55.04</v>
      </c>
      <c r="N23" s="73">
        <v>71.900000000000006</v>
      </c>
      <c r="O23" s="73">
        <f>N23*0.8</f>
        <v>57.52000000000001</v>
      </c>
      <c r="P23" s="73">
        <v>71.900000000000006</v>
      </c>
      <c r="Q23" s="84">
        <f>P23*0.8</f>
        <v>57.52000000000001</v>
      </c>
    </row>
    <row r="24" spans="1:17" ht="15" customHeight="1" x14ac:dyDescent="0.15">
      <c r="A24" s="31" t="s">
        <v>154</v>
      </c>
      <c r="B24" s="39">
        <v>65</v>
      </c>
      <c r="C24" s="39">
        <f t="shared" si="0"/>
        <v>52</v>
      </c>
      <c r="D24" s="39">
        <v>65</v>
      </c>
      <c r="E24" s="39">
        <f>D24*0.8</f>
        <v>52</v>
      </c>
      <c r="F24" s="39">
        <v>65</v>
      </c>
      <c r="G24" s="39">
        <f>F24*0.8</f>
        <v>52</v>
      </c>
      <c r="H24" s="39">
        <v>52.2</v>
      </c>
      <c r="I24" s="83">
        <f>H24*0.8</f>
        <v>41.760000000000005</v>
      </c>
      <c r="J24" s="73">
        <v>75</v>
      </c>
      <c r="K24" s="73">
        <f>J24*0.8</f>
        <v>60</v>
      </c>
      <c r="L24" s="73">
        <v>78.8</v>
      </c>
      <c r="M24" s="73">
        <f>L24*0.8</f>
        <v>63.04</v>
      </c>
      <c r="N24" s="73">
        <v>81.3</v>
      </c>
      <c r="O24" s="73">
        <f>N24*0.8</f>
        <v>65.040000000000006</v>
      </c>
      <c r="P24" s="73">
        <v>81.3</v>
      </c>
      <c r="Q24" s="84">
        <f>P24*0.8</f>
        <v>65.040000000000006</v>
      </c>
    </row>
    <row r="25" spans="1:17" ht="15" customHeight="1" x14ac:dyDescent="0.15">
      <c r="A25" s="31"/>
      <c r="B25" s="39"/>
      <c r="C25" s="39"/>
      <c r="D25" s="39"/>
      <c r="E25" s="39"/>
      <c r="F25" s="39"/>
      <c r="G25" s="39"/>
      <c r="H25" s="39"/>
      <c r="I25" s="55"/>
      <c r="J25" s="73"/>
      <c r="K25" s="73"/>
      <c r="L25" s="73"/>
      <c r="M25" s="73"/>
      <c r="N25" s="73"/>
      <c r="O25" s="73"/>
      <c r="P25" s="73"/>
      <c r="Q25" s="73"/>
    </row>
    <row r="26" spans="1:17" ht="15" customHeight="1" x14ac:dyDescent="0.15">
      <c r="A26" s="31" t="s">
        <v>155</v>
      </c>
      <c r="B26" s="39">
        <v>77.5</v>
      </c>
      <c r="C26" s="39">
        <f t="shared" si="0"/>
        <v>62</v>
      </c>
      <c r="D26" s="39">
        <v>100</v>
      </c>
      <c r="E26" s="39">
        <f t="shared" ref="E26:E31" si="1">D26*0.8</f>
        <v>80</v>
      </c>
      <c r="F26" s="39">
        <v>100</v>
      </c>
      <c r="G26" s="39">
        <f t="shared" ref="G26:G31" si="2">F26*0.8</f>
        <v>80</v>
      </c>
      <c r="H26" s="39" t="s">
        <v>174</v>
      </c>
      <c r="I26" s="55" t="s">
        <v>174</v>
      </c>
      <c r="J26" s="73">
        <v>90</v>
      </c>
      <c r="K26" s="73">
        <f t="shared" ref="K26:K31" si="3">J26*0.8</f>
        <v>72</v>
      </c>
      <c r="L26" s="73">
        <v>92.5</v>
      </c>
      <c r="M26" s="73">
        <f t="shared" ref="M26:M31" si="4">L26*0.8</f>
        <v>74</v>
      </c>
      <c r="N26" s="73">
        <v>97.5</v>
      </c>
      <c r="O26" s="73">
        <f>N26*0.8</f>
        <v>78</v>
      </c>
      <c r="P26" s="73">
        <v>97.5</v>
      </c>
      <c r="Q26" s="73">
        <f>P26*0.8</f>
        <v>78</v>
      </c>
    </row>
    <row r="27" spans="1:17" ht="15" customHeight="1" x14ac:dyDescent="0.15">
      <c r="A27" s="31" t="s">
        <v>156</v>
      </c>
      <c r="B27" s="39">
        <v>87.5</v>
      </c>
      <c r="C27" s="39">
        <f>B27*0.8</f>
        <v>70</v>
      </c>
      <c r="D27" s="39">
        <v>125</v>
      </c>
      <c r="E27" s="39">
        <f t="shared" si="1"/>
        <v>100</v>
      </c>
      <c r="F27" s="39">
        <v>125</v>
      </c>
      <c r="G27" s="39">
        <f t="shared" si="2"/>
        <v>100</v>
      </c>
      <c r="H27" s="39" t="s">
        <v>174</v>
      </c>
      <c r="I27" s="55" t="s">
        <v>174</v>
      </c>
      <c r="J27" s="73">
        <v>107.5</v>
      </c>
      <c r="K27" s="73">
        <f t="shared" si="3"/>
        <v>86</v>
      </c>
      <c r="L27" s="73">
        <v>110</v>
      </c>
      <c r="M27" s="73">
        <f t="shared" si="4"/>
        <v>88</v>
      </c>
      <c r="N27" s="73">
        <v>112.5</v>
      </c>
      <c r="O27" s="73">
        <f>N27*0.8</f>
        <v>90</v>
      </c>
      <c r="P27" s="73">
        <v>112.5</v>
      </c>
      <c r="Q27" s="73">
        <f>P27*0.8</f>
        <v>90</v>
      </c>
    </row>
    <row r="28" spans="1:17" ht="15" customHeight="1" x14ac:dyDescent="0.15">
      <c r="A28" s="31" t="s">
        <v>157</v>
      </c>
      <c r="B28" s="39">
        <v>112.5</v>
      </c>
      <c r="C28" s="39">
        <f>B28*0.8</f>
        <v>90</v>
      </c>
      <c r="D28" s="39">
        <v>140</v>
      </c>
      <c r="E28" s="39">
        <f t="shared" si="1"/>
        <v>112</v>
      </c>
      <c r="F28" s="39">
        <v>140</v>
      </c>
      <c r="G28" s="39">
        <f t="shared" si="2"/>
        <v>112</v>
      </c>
      <c r="H28" s="39" t="s">
        <v>174</v>
      </c>
      <c r="I28" s="55" t="s">
        <v>174</v>
      </c>
      <c r="J28" s="73">
        <v>125</v>
      </c>
      <c r="K28" s="73">
        <f t="shared" si="3"/>
        <v>100</v>
      </c>
      <c r="L28" s="73">
        <v>131.30000000000001</v>
      </c>
      <c r="M28" s="73">
        <f t="shared" si="4"/>
        <v>105.04000000000002</v>
      </c>
      <c r="N28" s="73">
        <v>137.5</v>
      </c>
      <c r="O28" s="73">
        <v>134</v>
      </c>
      <c r="P28" s="73">
        <v>130.5</v>
      </c>
      <c r="Q28" s="73">
        <v>127</v>
      </c>
    </row>
    <row r="29" spans="1:17" ht="15" customHeight="1" x14ac:dyDescent="0.15">
      <c r="A29" s="31" t="s">
        <v>158</v>
      </c>
      <c r="B29" s="39">
        <v>135</v>
      </c>
      <c r="C29" s="39">
        <f>B29*0.8</f>
        <v>108</v>
      </c>
      <c r="D29" s="39">
        <v>160</v>
      </c>
      <c r="E29" s="39">
        <f t="shared" si="1"/>
        <v>128</v>
      </c>
      <c r="F29" s="39">
        <v>160</v>
      </c>
      <c r="G29" s="39">
        <f t="shared" si="2"/>
        <v>128</v>
      </c>
      <c r="H29" s="39" t="s">
        <v>174</v>
      </c>
      <c r="I29" s="55" t="s">
        <v>174</v>
      </c>
      <c r="J29" s="73">
        <v>150</v>
      </c>
      <c r="K29" s="73">
        <f t="shared" si="3"/>
        <v>120</v>
      </c>
      <c r="L29" s="73">
        <v>156</v>
      </c>
      <c r="M29" s="73">
        <f t="shared" si="4"/>
        <v>124.80000000000001</v>
      </c>
      <c r="N29" s="73">
        <v>163.5</v>
      </c>
      <c r="O29" s="73">
        <f>N29*0.8</f>
        <v>130.80000000000001</v>
      </c>
      <c r="P29" s="73">
        <v>163.5</v>
      </c>
      <c r="Q29" s="73">
        <f>P29*0.8</f>
        <v>130.80000000000001</v>
      </c>
    </row>
    <row r="30" spans="1:17" ht="15" customHeight="1" x14ac:dyDescent="0.15">
      <c r="A30" s="31" t="s">
        <v>159</v>
      </c>
      <c r="B30" s="39">
        <v>149</v>
      </c>
      <c r="C30" s="39">
        <f>B30*0.8</f>
        <v>119.2</v>
      </c>
      <c r="D30" s="39">
        <v>180</v>
      </c>
      <c r="E30" s="39">
        <f t="shared" si="1"/>
        <v>144</v>
      </c>
      <c r="F30" s="39">
        <v>180</v>
      </c>
      <c r="G30" s="39">
        <f t="shared" si="2"/>
        <v>144</v>
      </c>
      <c r="H30" s="39" t="s">
        <v>174</v>
      </c>
      <c r="I30" s="55" t="s">
        <v>174</v>
      </c>
      <c r="J30" s="73">
        <v>170.7</v>
      </c>
      <c r="K30" s="73">
        <f t="shared" si="3"/>
        <v>136.56</v>
      </c>
      <c r="L30" s="73">
        <v>186</v>
      </c>
      <c r="M30" s="73">
        <f t="shared" si="4"/>
        <v>148.80000000000001</v>
      </c>
      <c r="N30" s="73">
        <v>186.5</v>
      </c>
      <c r="O30" s="73">
        <f>N30*0.8</f>
        <v>149.20000000000002</v>
      </c>
      <c r="P30" s="73">
        <v>186.5</v>
      </c>
      <c r="Q30" s="73">
        <f>P30*0.8</f>
        <v>149.20000000000002</v>
      </c>
    </row>
    <row r="31" spans="1:17" ht="15" customHeight="1" x14ac:dyDescent="0.15">
      <c r="A31" s="31" t="s">
        <v>160</v>
      </c>
      <c r="B31" s="39">
        <v>170</v>
      </c>
      <c r="C31" s="39">
        <f>B31*0.8</f>
        <v>136</v>
      </c>
      <c r="D31" s="39">
        <v>200</v>
      </c>
      <c r="E31" s="39">
        <f t="shared" si="1"/>
        <v>160</v>
      </c>
      <c r="F31" s="39">
        <v>200</v>
      </c>
      <c r="G31" s="39">
        <f t="shared" si="2"/>
        <v>160</v>
      </c>
      <c r="H31" s="39" t="s">
        <v>174</v>
      </c>
      <c r="I31" s="55" t="s">
        <v>174</v>
      </c>
      <c r="J31" s="73">
        <v>200</v>
      </c>
      <c r="K31" s="73">
        <f t="shared" si="3"/>
        <v>160</v>
      </c>
      <c r="L31" s="73">
        <v>212.5</v>
      </c>
      <c r="M31" s="73">
        <f t="shared" si="4"/>
        <v>170</v>
      </c>
      <c r="N31" s="73">
        <v>218.8</v>
      </c>
      <c r="O31" s="73">
        <f>N31*0.8</f>
        <v>175.04000000000002</v>
      </c>
      <c r="P31" s="73">
        <v>218.8</v>
      </c>
      <c r="Q31" s="73">
        <f>P31*0.8</f>
        <v>175.04000000000002</v>
      </c>
    </row>
    <row r="32" spans="1:17" ht="15" customHeight="1" x14ac:dyDescent="0.15">
      <c r="A32" s="31"/>
      <c r="B32" s="39"/>
      <c r="C32" s="39"/>
      <c r="D32" s="39"/>
      <c r="E32" s="39"/>
      <c r="F32" s="39"/>
      <c r="G32" s="39"/>
      <c r="H32" s="39"/>
      <c r="I32" s="55"/>
      <c r="J32" s="73"/>
      <c r="K32" s="73"/>
      <c r="L32" s="73"/>
      <c r="M32" s="73"/>
      <c r="N32" s="73"/>
      <c r="O32" s="73"/>
      <c r="P32" s="73"/>
      <c r="Q32" s="73"/>
    </row>
    <row r="33" spans="1:17" ht="15" customHeight="1" x14ac:dyDescent="0.15">
      <c r="A33" s="32" t="s">
        <v>161</v>
      </c>
      <c r="B33" s="39">
        <v>210</v>
      </c>
      <c r="C33" s="39">
        <f>B33*0.8</f>
        <v>168</v>
      </c>
      <c r="D33" s="39">
        <v>210</v>
      </c>
      <c r="E33" s="39">
        <f>D33*0.8</f>
        <v>168</v>
      </c>
      <c r="F33" s="39">
        <v>210</v>
      </c>
      <c r="G33" s="39">
        <f>F33*0.8</f>
        <v>168</v>
      </c>
      <c r="H33" s="39">
        <v>210</v>
      </c>
      <c r="I33" s="39">
        <f>H33*0.8</f>
        <v>168</v>
      </c>
      <c r="J33" s="73">
        <v>240</v>
      </c>
      <c r="K33" s="73">
        <f>J33*0.8</f>
        <v>192</v>
      </c>
      <c r="L33" s="73">
        <v>245</v>
      </c>
      <c r="M33" s="73">
        <f>L33*0.8</f>
        <v>196</v>
      </c>
      <c r="N33" s="73">
        <v>250</v>
      </c>
      <c r="O33" s="73">
        <f>N33*0.8</f>
        <v>200</v>
      </c>
      <c r="P33" s="73">
        <v>255</v>
      </c>
      <c r="Q33" s="73">
        <f>P33*0.8</f>
        <v>204</v>
      </c>
    </row>
    <row r="34" spans="1:17" ht="15" customHeight="1" x14ac:dyDescent="0.15">
      <c r="A34" s="32" t="s">
        <v>162</v>
      </c>
      <c r="B34" s="39">
        <v>230</v>
      </c>
      <c r="C34" s="39">
        <f>B34*0.8</f>
        <v>184</v>
      </c>
      <c r="D34" s="39">
        <v>230</v>
      </c>
      <c r="E34" s="39">
        <f>D34*0.8</f>
        <v>184</v>
      </c>
      <c r="F34" s="39">
        <v>230</v>
      </c>
      <c r="G34" s="39">
        <f>F34*0.8</f>
        <v>184</v>
      </c>
      <c r="H34" s="39">
        <v>230</v>
      </c>
      <c r="I34" s="39">
        <f>H34*0.8</f>
        <v>184</v>
      </c>
      <c r="J34" s="73">
        <v>255</v>
      </c>
      <c r="K34" s="73">
        <f>J34*0.8</f>
        <v>204</v>
      </c>
      <c r="L34" s="73">
        <v>270</v>
      </c>
      <c r="M34" s="73">
        <f>L34*0.8</f>
        <v>216</v>
      </c>
      <c r="N34" s="73">
        <v>280</v>
      </c>
      <c r="O34" s="73">
        <f>N34*0.8</f>
        <v>224</v>
      </c>
      <c r="P34" s="73">
        <v>295</v>
      </c>
      <c r="Q34" s="73">
        <f>P34*0.8</f>
        <v>236</v>
      </c>
    </row>
    <row r="35" spans="1:17" ht="15" customHeight="1" x14ac:dyDescent="0.15">
      <c r="A35" s="32" t="s">
        <v>163</v>
      </c>
      <c r="B35" s="39">
        <v>275</v>
      </c>
      <c r="C35" s="39">
        <f>B35*0.8</f>
        <v>220</v>
      </c>
      <c r="D35" s="39">
        <v>275</v>
      </c>
      <c r="E35" s="39">
        <f>D35*0.8</f>
        <v>220</v>
      </c>
      <c r="F35" s="39">
        <v>275</v>
      </c>
      <c r="G35" s="39">
        <f>F35*0.8</f>
        <v>220</v>
      </c>
      <c r="H35" s="39">
        <v>275</v>
      </c>
      <c r="I35" s="39">
        <f>H35*0.8</f>
        <v>220</v>
      </c>
      <c r="J35" s="73">
        <v>315</v>
      </c>
      <c r="K35" s="73">
        <f>J35*0.8</f>
        <v>252</v>
      </c>
      <c r="L35" s="73">
        <v>325</v>
      </c>
      <c r="M35" s="73">
        <f>L35*0.8</f>
        <v>260</v>
      </c>
      <c r="N35" s="73">
        <v>340</v>
      </c>
      <c r="O35" s="73">
        <f>N35*0.8</f>
        <v>272</v>
      </c>
      <c r="P35" s="73">
        <v>345</v>
      </c>
      <c r="Q35" s="73">
        <f>P35*0.8</f>
        <v>276</v>
      </c>
    </row>
    <row r="36" spans="1:17" ht="15" customHeight="1" x14ac:dyDescent="0.15">
      <c r="A36" s="32" t="s">
        <v>164</v>
      </c>
      <c r="B36" s="39">
        <v>310</v>
      </c>
      <c r="C36" s="39">
        <f>B36*0.8</f>
        <v>248</v>
      </c>
      <c r="D36" s="39">
        <v>310</v>
      </c>
      <c r="E36" s="39">
        <f>D36*0.8</f>
        <v>248</v>
      </c>
      <c r="F36" s="39">
        <v>310</v>
      </c>
      <c r="G36" s="39">
        <f>F36*0.8</f>
        <v>248</v>
      </c>
      <c r="H36" s="39">
        <v>310</v>
      </c>
      <c r="I36" s="39">
        <f>H36*0.8</f>
        <v>248</v>
      </c>
      <c r="J36" s="73">
        <v>365</v>
      </c>
      <c r="K36" s="73">
        <f>J36*0.8</f>
        <v>292</v>
      </c>
      <c r="L36" s="73">
        <v>375</v>
      </c>
      <c r="M36" s="73">
        <f>L36*0.8</f>
        <v>300</v>
      </c>
      <c r="N36" s="73">
        <v>380</v>
      </c>
      <c r="O36" s="73">
        <f>N36*0.8</f>
        <v>304</v>
      </c>
      <c r="P36" s="73">
        <v>395</v>
      </c>
      <c r="Q36" s="73">
        <f>P36*0.8</f>
        <v>316</v>
      </c>
    </row>
    <row r="37" spans="1:17" ht="15" customHeight="1" x14ac:dyDescent="0.15">
      <c r="A37" s="32"/>
      <c r="B37" s="39"/>
      <c r="C37" s="39"/>
      <c r="D37" s="39"/>
      <c r="E37" s="39"/>
      <c r="F37" s="39"/>
      <c r="G37" s="39"/>
      <c r="H37" s="39"/>
      <c r="I37" s="55"/>
      <c r="J37" s="73"/>
      <c r="K37" s="73"/>
      <c r="L37" s="73"/>
      <c r="M37" s="73"/>
      <c r="N37" s="73"/>
      <c r="O37" s="73"/>
      <c r="P37" s="73"/>
      <c r="Q37" s="73"/>
    </row>
    <row r="38" spans="1:17" ht="15" customHeight="1" x14ac:dyDescent="0.15">
      <c r="A38" s="32" t="s">
        <v>165</v>
      </c>
      <c r="B38" s="23">
        <v>365</v>
      </c>
      <c r="C38" s="39">
        <f>B38*0.8</f>
        <v>292</v>
      </c>
      <c r="D38" s="23">
        <v>370</v>
      </c>
      <c r="E38" s="39">
        <f>D38*0.8</f>
        <v>296</v>
      </c>
      <c r="F38" s="23">
        <v>380</v>
      </c>
      <c r="G38" s="39">
        <f>F38*0.8</f>
        <v>304</v>
      </c>
      <c r="H38" s="23">
        <v>380</v>
      </c>
      <c r="I38" s="39">
        <f>H38*0.8</f>
        <v>304</v>
      </c>
      <c r="J38" s="73">
        <v>431</v>
      </c>
      <c r="K38" s="73">
        <f>J38*0.8</f>
        <v>344.8</v>
      </c>
      <c r="L38" s="73">
        <v>450</v>
      </c>
      <c r="M38" s="73">
        <f>L38*0.8</f>
        <v>360</v>
      </c>
      <c r="N38" s="73">
        <v>475</v>
      </c>
      <c r="O38" s="73">
        <f>N38*0.8</f>
        <v>380</v>
      </c>
      <c r="P38" s="73">
        <v>481</v>
      </c>
      <c r="Q38" s="85">
        <f>P38*0.8</f>
        <v>384.8</v>
      </c>
    </row>
    <row r="39" spans="1:17" ht="15" customHeight="1" x14ac:dyDescent="0.15">
      <c r="A39" s="32" t="s">
        <v>166</v>
      </c>
      <c r="B39" s="39">
        <v>405</v>
      </c>
      <c r="C39" s="39">
        <f>B39*0.8</f>
        <v>324</v>
      </c>
      <c r="D39" s="39">
        <v>415</v>
      </c>
      <c r="E39" s="39">
        <f>D39*0.8</f>
        <v>332</v>
      </c>
      <c r="F39" s="39">
        <v>430</v>
      </c>
      <c r="G39" s="39">
        <f>F39*0.8</f>
        <v>344</v>
      </c>
      <c r="H39" s="39">
        <v>430</v>
      </c>
      <c r="I39" s="39">
        <f>H39*0.8</f>
        <v>344</v>
      </c>
      <c r="J39" s="73">
        <v>463</v>
      </c>
      <c r="K39" s="73">
        <f>J39*0.8</f>
        <v>370.40000000000003</v>
      </c>
      <c r="L39" s="73">
        <v>488</v>
      </c>
      <c r="M39" s="73">
        <f>L39*0.8</f>
        <v>390.40000000000003</v>
      </c>
      <c r="N39" s="73">
        <v>506</v>
      </c>
      <c r="O39" s="85">
        <f>N39*0.8</f>
        <v>404.8</v>
      </c>
      <c r="P39" s="73">
        <v>531</v>
      </c>
      <c r="Q39" s="85">
        <f>P39*0.8</f>
        <v>424.8</v>
      </c>
    </row>
    <row r="40" spans="1:17" ht="15" customHeight="1" x14ac:dyDescent="0.15">
      <c r="A40" s="32" t="s">
        <v>167</v>
      </c>
      <c r="B40" s="23">
        <v>475</v>
      </c>
      <c r="C40" s="39">
        <f>B40*0.8</f>
        <v>380</v>
      </c>
      <c r="D40" s="23">
        <v>490</v>
      </c>
      <c r="E40" s="39">
        <f>D40*0.8</f>
        <v>392</v>
      </c>
      <c r="F40" s="23">
        <v>505</v>
      </c>
      <c r="G40" s="39">
        <f>F40*0.8</f>
        <v>404</v>
      </c>
      <c r="H40" s="23">
        <v>505</v>
      </c>
      <c r="I40" s="39">
        <f>H40*0.8</f>
        <v>404</v>
      </c>
      <c r="J40" s="73">
        <v>563</v>
      </c>
      <c r="K40" s="73">
        <f>J40*0.8</f>
        <v>450.40000000000003</v>
      </c>
      <c r="L40" s="73">
        <v>588</v>
      </c>
      <c r="M40" s="73">
        <f>L40*0.8</f>
        <v>470.40000000000003</v>
      </c>
      <c r="N40" s="73">
        <v>594</v>
      </c>
      <c r="O40" s="85">
        <f>N40*0.8</f>
        <v>475.20000000000005</v>
      </c>
      <c r="P40" s="73">
        <v>606</v>
      </c>
      <c r="Q40" s="85">
        <f>P40*0.8</f>
        <v>484.8</v>
      </c>
    </row>
    <row r="41" spans="1:17" ht="15" customHeight="1" x14ac:dyDescent="0.15">
      <c r="A41" s="32" t="s">
        <v>168</v>
      </c>
      <c r="B41" s="23">
        <v>505</v>
      </c>
      <c r="C41" s="39">
        <f>B41*0.8</f>
        <v>404</v>
      </c>
      <c r="D41" s="23">
        <v>525</v>
      </c>
      <c r="E41" s="39">
        <f>D41*0.8</f>
        <v>420</v>
      </c>
      <c r="F41" s="23">
        <v>540</v>
      </c>
      <c r="G41" s="39">
        <f>F41*0.8</f>
        <v>432</v>
      </c>
      <c r="H41" s="23">
        <v>540</v>
      </c>
      <c r="I41" s="39">
        <f>H41*0.8</f>
        <v>432</v>
      </c>
      <c r="J41" s="73">
        <v>619</v>
      </c>
      <c r="K41" s="73">
        <f>J41*0.8</f>
        <v>495.20000000000005</v>
      </c>
      <c r="L41" s="73">
        <v>644</v>
      </c>
      <c r="M41" s="73">
        <f>L41*0.8</f>
        <v>515.20000000000005</v>
      </c>
      <c r="N41" s="73">
        <v>656</v>
      </c>
      <c r="O41" s="85">
        <f>N41*0.8</f>
        <v>524.80000000000007</v>
      </c>
      <c r="P41" s="73">
        <v>663</v>
      </c>
      <c r="Q41" s="85">
        <f>P41*0.8</f>
        <v>530.4</v>
      </c>
    </row>
    <row r="42" spans="1:17" ht="15" customHeight="1" x14ac:dyDescent="0.15">
      <c r="A42" s="74"/>
      <c r="B42" s="75"/>
      <c r="C42" s="76"/>
      <c r="E42" s="76"/>
      <c r="F42" s="76"/>
      <c r="G42" s="77"/>
      <c r="H42" s="76"/>
      <c r="J42" s="77"/>
      <c r="L42" s="78"/>
      <c r="N42" s="76"/>
    </row>
    <row r="43" spans="1:17" x14ac:dyDescent="0.15">
      <c r="A43" s="24" t="s">
        <v>68</v>
      </c>
      <c r="B43" s="139" t="s">
        <v>66</v>
      </c>
      <c r="C43" s="140"/>
      <c r="D43" s="140"/>
      <c r="E43" s="140"/>
      <c r="F43" s="140"/>
      <c r="G43" s="140"/>
      <c r="H43" s="140"/>
      <c r="I43" s="141"/>
      <c r="J43" s="166" t="s">
        <v>67</v>
      </c>
      <c r="K43" s="166"/>
      <c r="L43" s="166"/>
      <c r="M43" s="166"/>
      <c r="N43" s="166"/>
      <c r="O43" s="166"/>
      <c r="P43" s="166"/>
      <c r="Q43" s="166"/>
    </row>
    <row r="44" spans="1:17" x14ac:dyDescent="0.15">
      <c r="A44" s="24" t="s">
        <v>58</v>
      </c>
      <c r="B44" s="128">
        <v>0.8</v>
      </c>
      <c r="C44" s="129"/>
      <c r="D44" s="128">
        <v>0.8</v>
      </c>
      <c r="E44" s="129"/>
      <c r="F44" s="128">
        <v>0.8</v>
      </c>
      <c r="G44" s="129"/>
      <c r="H44" s="128">
        <v>0.8</v>
      </c>
      <c r="I44" s="129"/>
      <c r="J44" s="130">
        <v>0.8</v>
      </c>
      <c r="K44" s="131"/>
      <c r="L44" s="130">
        <v>0.8</v>
      </c>
      <c r="M44" s="131"/>
      <c r="N44" s="130">
        <v>0.8</v>
      </c>
      <c r="O44" s="131"/>
      <c r="P44" s="130">
        <v>0.8</v>
      </c>
      <c r="Q44" s="131"/>
    </row>
    <row r="45" spans="1:17" x14ac:dyDescent="0.15">
      <c r="A45" s="24" t="s">
        <v>59</v>
      </c>
      <c r="B45" s="17"/>
      <c r="C45" s="18"/>
      <c r="D45" s="17"/>
      <c r="E45" s="18"/>
      <c r="F45" s="17"/>
      <c r="G45" s="18"/>
      <c r="H45" s="53"/>
      <c r="I45" s="53"/>
      <c r="J45" s="20"/>
      <c r="K45" s="21"/>
      <c r="L45" s="20"/>
      <c r="M45" s="21"/>
      <c r="N45" s="20"/>
      <c r="O45" s="21"/>
      <c r="P45" s="20"/>
      <c r="Q45" s="21"/>
    </row>
    <row r="46" spans="1:17" x14ac:dyDescent="0.15">
      <c r="A46" s="24" t="s">
        <v>104</v>
      </c>
      <c r="B46" s="128">
        <v>380</v>
      </c>
      <c r="C46" s="129"/>
      <c r="D46" s="137">
        <v>400</v>
      </c>
      <c r="E46" s="137"/>
      <c r="F46" s="128">
        <v>415</v>
      </c>
      <c r="G46" s="129"/>
      <c r="H46" s="128">
        <v>440</v>
      </c>
      <c r="I46" s="129"/>
      <c r="J46" s="126">
        <v>416</v>
      </c>
      <c r="K46" s="127"/>
      <c r="L46" s="130">
        <v>440</v>
      </c>
      <c r="M46" s="131"/>
      <c r="N46" s="130">
        <v>460</v>
      </c>
      <c r="O46" s="131"/>
      <c r="P46" s="130">
        <v>480</v>
      </c>
      <c r="Q46" s="131"/>
    </row>
    <row r="47" spans="1:17" x14ac:dyDescent="0.15">
      <c r="A47" s="24" t="s">
        <v>105</v>
      </c>
      <c r="B47" s="128">
        <v>220</v>
      </c>
      <c r="C47" s="129"/>
      <c r="D47" s="128">
        <v>230</v>
      </c>
      <c r="E47" s="129"/>
      <c r="F47" s="128">
        <v>240</v>
      </c>
      <c r="G47" s="129"/>
      <c r="H47" s="128">
        <v>254</v>
      </c>
      <c r="I47" s="129"/>
      <c r="J47" s="126">
        <v>240</v>
      </c>
      <c r="K47" s="127"/>
      <c r="L47" s="126">
        <v>254</v>
      </c>
      <c r="M47" s="127"/>
      <c r="N47" s="126">
        <v>266</v>
      </c>
      <c r="O47" s="127"/>
      <c r="P47" s="126">
        <v>277</v>
      </c>
      <c r="Q47" s="127"/>
    </row>
    <row r="48" spans="1:17" x14ac:dyDescent="0.15">
      <c r="A48" s="24" t="s">
        <v>106</v>
      </c>
      <c r="B48" s="128">
        <v>380</v>
      </c>
      <c r="C48" s="129"/>
      <c r="D48" s="137">
        <v>400</v>
      </c>
      <c r="E48" s="137"/>
      <c r="F48" s="128">
        <v>415</v>
      </c>
      <c r="G48" s="129"/>
      <c r="H48" s="128">
        <v>440</v>
      </c>
      <c r="I48" s="129"/>
      <c r="J48" s="126">
        <v>416</v>
      </c>
      <c r="K48" s="127"/>
      <c r="L48" s="130">
        <v>440</v>
      </c>
      <c r="M48" s="131"/>
      <c r="N48" s="130">
        <v>460</v>
      </c>
      <c r="O48" s="131"/>
      <c r="P48" s="130">
        <v>480</v>
      </c>
      <c r="Q48" s="131"/>
    </row>
    <row r="49" spans="1:17" x14ac:dyDescent="0.15">
      <c r="A49" s="24" t="s">
        <v>107</v>
      </c>
      <c r="B49" s="128">
        <v>190</v>
      </c>
      <c r="C49" s="129"/>
      <c r="D49" s="128">
        <v>200</v>
      </c>
      <c r="E49" s="129"/>
      <c r="F49" s="128">
        <v>208</v>
      </c>
      <c r="G49" s="129"/>
      <c r="H49" s="128">
        <v>220</v>
      </c>
      <c r="I49" s="129"/>
      <c r="J49" s="126">
        <v>208</v>
      </c>
      <c r="K49" s="127"/>
      <c r="L49" s="126">
        <v>220</v>
      </c>
      <c r="M49" s="127"/>
      <c r="N49" s="126">
        <v>230</v>
      </c>
      <c r="O49" s="127"/>
      <c r="P49" s="126">
        <v>240</v>
      </c>
      <c r="Q49" s="127"/>
    </row>
    <row r="50" spans="1:17" x14ac:dyDescent="0.15">
      <c r="A50" s="25" t="s">
        <v>62</v>
      </c>
      <c r="B50" s="128">
        <v>220</v>
      </c>
      <c r="C50" s="129"/>
      <c r="D50" s="128">
        <v>230</v>
      </c>
      <c r="E50" s="129"/>
      <c r="F50" s="128">
        <v>240</v>
      </c>
      <c r="G50" s="129"/>
      <c r="H50" s="128">
        <v>254</v>
      </c>
      <c r="I50" s="129"/>
      <c r="J50" s="126">
        <v>240</v>
      </c>
      <c r="K50" s="127"/>
      <c r="L50" s="126">
        <v>254</v>
      </c>
      <c r="M50" s="127"/>
      <c r="N50" s="126">
        <v>266</v>
      </c>
      <c r="O50" s="127"/>
      <c r="P50" s="126">
        <v>277</v>
      </c>
      <c r="Q50" s="127"/>
    </row>
    <row r="51" spans="1:17" x14ac:dyDescent="0.15">
      <c r="A51" s="25" t="s">
        <v>63</v>
      </c>
      <c r="B51" s="128" t="s">
        <v>55</v>
      </c>
      <c r="C51" s="129"/>
      <c r="D51" s="128" t="s">
        <v>55</v>
      </c>
      <c r="E51" s="129"/>
      <c r="F51" s="128" t="s">
        <v>55</v>
      </c>
      <c r="G51" s="129"/>
      <c r="H51" s="128" t="s">
        <v>55</v>
      </c>
      <c r="I51" s="129"/>
      <c r="J51" s="126" t="s">
        <v>55</v>
      </c>
      <c r="K51" s="127"/>
      <c r="L51" s="126" t="s">
        <v>55</v>
      </c>
      <c r="M51" s="127"/>
      <c r="N51" s="126" t="s">
        <v>55</v>
      </c>
      <c r="O51" s="127"/>
      <c r="P51" s="126" t="s">
        <v>55</v>
      </c>
      <c r="Q51" s="127"/>
    </row>
    <row r="52" spans="1:17" x14ac:dyDescent="0.15">
      <c r="A52" s="26" t="s">
        <v>64</v>
      </c>
      <c r="B52" s="19" t="s">
        <v>0</v>
      </c>
      <c r="C52" s="19" t="s">
        <v>1</v>
      </c>
      <c r="D52" s="19" t="s">
        <v>0</v>
      </c>
      <c r="E52" s="19" t="s">
        <v>1</v>
      </c>
      <c r="F52" s="19" t="s">
        <v>0</v>
      </c>
      <c r="G52" s="19" t="s">
        <v>1</v>
      </c>
      <c r="H52" s="19" t="s">
        <v>0</v>
      </c>
      <c r="I52" s="19" t="s">
        <v>1</v>
      </c>
      <c r="J52" s="23" t="s">
        <v>0</v>
      </c>
      <c r="K52" s="23" t="s">
        <v>1</v>
      </c>
      <c r="L52" s="23" t="s">
        <v>0</v>
      </c>
      <c r="M52" s="23" t="s">
        <v>1</v>
      </c>
      <c r="N52" s="23" t="s">
        <v>0</v>
      </c>
      <c r="O52" s="23" t="s">
        <v>1</v>
      </c>
      <c r="P52" s="23" t="s">
        <v>0</v>
      </c>
      <c r="Q52" s="23" t="s">
        <v>1</v>
      </c>
    </row>
    <row r="53" spans="1:17" x14ac:dyDescent="0.15">
      <c r="A53" s="32" t="s">
        <v>127</v>
      </c>
      <c r="B53" s="22">
        <v>550</v>
      </c>
      <c r="C53" s="30">
        <f t="shared" ref="C53:C58" si="5">B53*0.8</f>
        <v>440</v>
      </c>
      <c r="D53" s="22">
        <v>583</v>
      </c>
      <c r="E53" s="30">
        <f t="shared" ref="E53:E58" si="6">D53*0.8</f>
        <v>466.40000000000003</v>
      </c>
      <c r="F53" s="22">
        <v>583</v>
      </c>
      <c r="G53" s="30">
        <f t="shared" ref="G53:G58" si="7">F53*0.8</f>
        <v>466.40000000000003</v>
      </c>
      <c r="H53" s="30">
        <v>550</v>
      </c>
      <c r="I53" s="30">
        <f t="shared" ref="I53:I58" si="8">H53*0.8</f>
        <v>440</v>
      </c>
      <c r="J53" s="28">
        <v>630</v>
      </c>
      <c r="K53" s="28">
        <f t="shared" ref="K53:K58" si="9">J53*0.8</f>
        <v>504</v>
      </c>
      <c r="L53" s="28">
        <v>665</v>
      </c>
      <c r="M53" s="28">
        <f t="shared" ref="M53:M58" si="10">L53*0.8</f>
        <v>532</v>
      </c>
      <c r="N53" s="28">
        <v>696</v>
      </c>
      <c r="O53" s="28">
        <f t="shared" ref="O53:O58" si="11">N53*0.8</f>
        <v>556.80000000000007</v>
      </c>
      <c r="P53" s="28">
        <v>730</v>
      </c>
      <c r="Q53" s="28">
        <f t="shared" ref="Q53:Q58" si="12">P53*0.8</f>
        <v>584</v>
      </c>
    </row>
    <row r="54" spans="1:17" x14ac:dyDescent="0.15">
      <c r="A54" s="32" t="s">
        <v>128</v>
      </c>
      <c r="B54" s="22">
        <v>592</v>
      </c>
      <c r="C54" s="30">
        <f t="shared" si="5"/>
        <v>473.6</v>
      </c>
      <c r="D54" s="22">
        <v>625</v>
      </c>
      <c r="E54" s="30">
        <f t="shared" si="6"/>
        <v>500</v>
      </c>
      <c r="F54" s="22">
        <v>625</v>
      </c>
      <c r="G54" s="30">
        <f t="shared" si="7"/>
        <v>500</v>
      </c>
      <c r="H54" s="30">
        <v>580</v>
      </c>
      <c r="I54" s="30">
        <f t="shared" si="8"/>
        <v>464</v>
      </c>
      <c r="J54" s="28">
        <v>670</v>
      </c>
      <c r="K54" s="28">
        <f t="shared" si="9"/>
        <v>536</v>
      </c>
      <c r="L54" s="28">
        <v>713</v>
      </c>
      <c r="M54" s="28">
        <f t="shared" si="10"/>
        <v>570.4</v>
      </c>
      <c r="N54" s="28">
        <v>745</v>
      </c>
      <c r="O54" s="28">
        <f t="shared" si="11"/>
        <v>596</v>
      </c>
      <c r="P54" s="28">
        <v>778</v>
      </c>
      <c r="Q54" s="28">
        <f t="shared" si="12"/>
        <v>622.40000000000009</v>
      </c>
    </row>
    <row r="55" spans="1:17" x14ac:dyDescent="0.15">
      <c r="A55" s="32" t="s">
        <v>129</v>
      </c>
      <c r="B55" s="22">
        <v>673</v>
      </c>
      <c r="C55" s="30">
        <f t="shared" si="5"/>
        <v>538.4</v>
      </c>
      <c r="D55" s="22">
        <v>708</v>
      </c>
      <c r="E55" s="30">
        <f t="shared" si="6"/>
        <v>566.4</v>
      </c>
      <c r="F55" s="22">
        <v>708</v>
      </c>
      <c r="G55" s="30">
        <f t="shared" si="7"/>
        <v>566.4</v>
      </c>
      <c r="H55" s="30">
        <v>650</v>
      </c>
      <c r="I55" s="30">
        <f t="shared" si="8"/>
        <v>520</v>
      </c>
      <c r="J55" s="28">
        <v>767</v>
      </c>
      <c r="K55" s="28">
        <f t="shared" si="9"/>
        <v>613.6</v>
      </c>
      <c r="L55" s="28">
        <v>811</v>
      </c>
      <c r="M55" s="28">
        <f t="shared" si="10"/>
        <v>648.80000000000007</v>
      </c>
      <c r="N55" s="28">
        <v>848</v>
      </c>
      <c r="O55" s="28">
        <f t="shared" si="11"/>
        <v>678.40000000000009</v>
      </c>
      <c r="P55" s="28">
        <v>886</v>
      </c>
      <c r="Q55" s="28">
        <f t="shared" si="12"/>
        <v>708.80000000000007</v>
      </c>
    </row>
    <row r="56" spans="1:17" x14ac:dyDescent="0.15">
      <c r="A56" s="32" t="s">
        <v>130</v>
      </c>
      <c r="B56" s="22">
        <v>739</v>
      </c>
      <c r="C56" s="30">
        <f t="shared" si="5"/>
        <v>591.20000000000005</v>
      </c>
      <c r="D56" s="22">
        <v>778</v>
      </c>
      <c r="E56" s="30">
        <f t="shared" si="6"/>
        <v>622.40000000000009</v>
      </c>
      <c r="F56" s="22">
        <v>778</v>
      </c>
      <c r="G56" s="30">
        <f t="shared" si="7"/>
        <v>622.40000000000009</v>
      </c>
      <c r="H56" s="30">
        <v>720</v>
      </c>
      <c r="I56" s="30">
        <f t="shared" si="8"/>
        <v>576</v>
      </c>
      <c r="J56" s="28">
        <v>840</v>
      </c>
      <c r="K56" s="28">
        <f t="shared" si="9"/>
        <v>672</v>
      </c>
      <c r="L56" s="28">
        <v>891</v>
      </c>
      <c r="M56" s="28">
        <f t="shared" si="10"/>
        <v>712.80000000000007</v>
      </c>
      <c r="N56" s="28">
        <v>931</v>
      </c>
      <c r="O56" s="28">
        <f t="shared" si="11"/>
        <v>744.80000000000007</v>
      </c>
      <c r="P56" s="28">
        <v>972</v>
      </c>
      <c r="Q56" s="28">
        <f t="shared" si="12"/>
        <v>777.6</v>
      </c>
    </row>
    <row r="57" spans="1:17" x14ac:dyDescent="0.15">
      <c r="A57" s="32" t="s">
        <v>131</v>
      </c>
      <c r="B57" s="22">
        <v>848</v>
      </c>
      <c r="C57" s="30">
        <f t="shared" si="5"/>
        <v>678.40000000000009</v>
      </c>
      <c r="D57" s="22">
        <v>879</v>
      </c>
      <c r="E57" s="30">
        <f t="shared" si="6"/>
        <v>703.2</v>
      </c>
      <c r="F57" s="22">
        <v>879</v>
      </c>
      <c r="G57" s="30">
        <f t="shared" si="7"/>
        <v>703.2</v>
      </c>
      <c r="H57" s="30">
        <v>820</v>
      </c>
      <c r="I57" s="30">
        <f t="shared" si="8"/>
        <v>656</v>
      </c>
      <c r="J57" s="28">
        <v>936</v>
      </c>
      <c r="K57" s="28">
        <f t="shared" si="9"/>
        <v>748.80000000000007</v>
      </c>
      <c r="L57" s="28">
        <v>990</v>
      </c>
      <c r="M57" s="28">
        <f t="shared" si="10"/>
        <v>792</v>
      </c>
      <c r="N57" s="28">
        <v>1035</v>
      </c>
      <c r="O57" s="28">
        <f t="shared" si="11"/>
        <v>828</v>
      </c>
      <c r="P57" s="28">
        <v>1081</v>
      </c>
      <c r="Q57" s="28">
        <f t="shared" si="12"/>
        <v>864.80000000000007</v>
      </c>
    </row>
    <row r="58" spans="1:17" ht="15" customHeight="1" x14ac:dyDescent="0.15">
      <c r="A58" s="32" t="s">
        <v>132</v>
      </c>
      <c r="B58" s="22">
        <v>925</v>
      </c>
      <c r="C58" s="30">
        <f t="shared" si="5"/>
        <v>740</v>
      </c>
      <c r="D58" s="22">
        <v>972</v>
      </c>
      <c r="E58" s="30">
        <f t="shared" si="6"/>
        <v>777.6</v>
      </c>
      <c r="F58" s="22">
        <v>972</v>
      </c>
      <c r="G58" s="30">
        <f t="shared" si="7"/>
        <v>777.6</v>
      </c>
      <c r="H58" s="30">
        <v>880</v>
      </c>
      <c r="I58" s="30">
        <f t="shared" si="8"/>
        <v>704</v>
      </c>
      <c r="J58" s="28">
        <v>1018</v>
      </c>
      <c r="K58" s="28">
        <f t="shared" si="9"/>
        <v>814.40000000000009</v>
      </c>
      <c r="L58" s="28">
        <v>1077</v>
      </c>
      <c r="M58" s="28">
        <f t="shared" si="10"/>
        <v>861.6</v>
      </c>
      <c r="N58" s="28">
        <v>1126</v>
      </c>
      <c r="O58" s="28">
        <f t="shared" si="11"/>
        <v>900.80000000000007</v>
      </c>
      <c r="P58" s="28">
        <v>1175</v>
      </c>
      <c r="Q58" s="28">
        <f t="shared" si="12"/>
        <v>940</v>
      </c>
    </row>
    <row r="59" spans="1:17" ht="19.5" customHeight="1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15.75" customHeight="1" x14ac:dyDescent="0.15">
      <c r="A60" s="32" t="s">
        <v>133</v>
      </c>
      <c r="B60" s="23">
        <v>1033.5999999999999</v>
      </c>
      <c r="C60" s="39">
        <v>826.88</v>
      </c>
      <c r="D60" s="23">
        <v>1064</v>
      </c>
      <c r="E60" s="39">
        <v>851.2</v>
      </c>
      <c r="F60" s="23">
        <v>1064</v>
      </c>
      <c r="G60" s="39">
        <v>851.2</v>
      </c>
      <c r="H60" s="39">
        <v>1045</v>
      </c>
      <c r="I60" s="39">
        <v>836</v>
      </c>
      <c r="J60" s="73">
        <v>1159</v>
      </c>
      <c r="K60" s="73">
        <v>927.2</v>
      </c>
      <c r="L60" s="73">
        <v>1235</v>
      </c>
      <c r="M60" s="73">
        <v>988</v>
      </c>
      <c r="N60" s="73">
        <v>1257.8</v>
      </c>
      <c r="O60" s="73">
        <v>1006.24</v>
      </c>
      <c r="P60" s="73">
        <v>1284.4000000000001</v>
      </c>
      <c r="Q60" s="73">
        <v>1027.52</v>
      </c>
    </row>
    <row r="61" spans="1:17" ht="15.75" customHeight="1" x14ac:dyDescent="0.15">
      <c r="A61" s="32" t="s">
        <v>134</v>
      </c>
      <c r="B61" s="23">
        <v>1180</v>
      </c>
      <c r="C61" s="39">
        <f t="shared" ref="C61:E66" si="13">B61*0.8</f>
        <v>944</v>
      </c>
      <c r="D61" s="23">
        <v>1240</v>
      </c>
      <c r="E61" s="39">
        <f t="shared" si="13"/>
        <v>992</v>
      </c>
      <c r="F61" s="23">
        <v>1240</v>
      </c>
      <c r="G61" s="39">
        <f t="shared" ref="G61:G66" si="14">F61*0.8</f>
        <v>992</v>
      </c>
      <c r="H61" s="39">
        <v>1125</v>
      </c>
      <c r="I61" s="39">
        <f t="shared" ref="I61:I66" si="15">H61*0.8</f>
        <v>900</v>
      </c>
      <c r="J61" s="73">
        <v>1390</v>
      </c>
      <c r="K61" s="73">
        <f t="shared" ref="K61:M66" si="16">J61*0.8</f>
        <v>1112</v>
      </c>
      <c r="L61" s="73">
        <v>1480</v>
      </c>
      <c r="M61" s="73">
        <f t="shared" si="16"/>
        <v>1184</v>
      </c>
      <c r="N61" s="73">
        <v>1510</v>
      </c>
      <c r="O61" s="73">
        <f t="shared" ref="O61:O66" si="17">N61*0.8</f>
        <v>1208</v>
      </c>
      <c r="P61" s="73">
        <v>1540</v>
      </c>
      <c r="Q61" s="73">
        <f t="shared" ref="Q61:Q66" si="18">P61*0.8</f>
        <v>1232</v>
      </c>
    </row>
    <row r="62" spans="1:17" ht="15.75" customHeight="1" x14ac:dyDescent="0.15">
      <c r="A62" s="32" t="s">
        <v>135</v>
      </c>
      <c r="B62" s="23">
        <v>1255</v>
      </c>
      <c r="C62" s="39">
        <f t="shared" si="13"/>
        <v>1004</v>
      </c>
      <c r="D62" s="23">
        <v>1320</v>
      </c>
      <c r="E62" s="39">
        <f t="shared" si="13"/>
        <v>1056</v>
      </c>
      <c r="F62" s="23">
        <v>1320</v>
      </c>
      <c r="G62" s="39">
        <f t="shared" si="14"/>
        <v>1056</v>
      </c>
      <c r="H62" s="39">
        <v>1200</v>
      </c>
      <c r="I62" s="39">
        <f t="shared" si="15"/>
        <v>960</v>
      </c>
      <c r="J62" s="73">
        <v>1480</v>
      </c>
      <c r="K62" s="73">
        <f t="shared" si="16"/>
        <v>1184</v>
      </c>
      <c r="L62" s="73">
        <v>1580</v>
      </c>
      <c r="M62" s="73">
        <f t="shared" si="16"/>
        <v>1264</v>
      </c>
      <c r="N62" s="73">
        <v>1610</v>
      </c>
      <c r="O62" s="73">
        <f t="shared" si="17"/>
        <v>1288</v>
      </c>
      <c r="P62" s="73">
        <v>1645</v>
      </c>
      <c r="Q62" s="73">
        <f t="shared" si="18"/>
        <v>1316</v>
      </c>
    </row>
    <row r="63" spans="1:17" ht="15.75" customHeight="1" x14ac:dyDescent="0.15">
      <c r="A63" s="32" t="s">
        <v>136</v>
      </c>
      <c r="B63" s="23">
        <v>1365</v>
      </c>
      <c r="C63" s="39">
        <f t="shared" si="13"/>
        <v>1092</v>
      </c>
      <c r="D63" s="23">
        <v>1435</v>
      </c>
      <c r="E63" s="39">
        <f t="shared" si="13"/>
        <v>1148</v>
      </c>
      <c r="F63" s="23">
        <v>1435</v>
      </c>
      <c r="G63" s="39">
        <f t="shared" si="14"/>
        <v>1148</v>
      </c>
      <c r="H63" s="39">
        <v>1300</v>
      </c>
      <c r="I63" s="39">
        <f t="shared" si="15"/>
        <v>1040</v>
      </c>
      <c r="J63" s="73">
        <v>1690</v>
      </c>
      <c r="K63" s="73">
        <f t="shared" si="16"/>
        <v>1352</v>
      </c>
      <c r="L63" s="73">
        <v>1800</v>
      </c>
      <c r="M63" s="73">
        <f t="shared" si="16"/>
        <v>1440</v>
      </c>
      <c r="N63" s="73">
        <v>1840</v>
      </c>
      <c r="O63" s="73">
        <f t="shared" si="17"/>
        <v>1472</v>
      </c>
      <c r="P63" s="73">
        <v>1875</v>
      </c>
      <c r="Q63" s="73">
        <f t="shared" si="18"/>
        <v>1500</v>
      </c>
    </row>
    <row r="64" spans="1:17" ht="15.75" customHeight="1" x14ac:dyDescent="0.15">
      <c r="A64" s="32" t="s">
        <v>137</v>
      </c>
      <c r="B64" s="23">
        <v>1500</v>
      </c>
      <c r="C64" s="39">
        <f t="shared" si="13"/>
        <v>1200</v>
      </c>
      <c r="D64" s="23">
        <v>1580</v>
      </c>
      <c r="E64" s="39">
        <f t="shared" si="13"/>
        <v>1264</v>
      </c>
      <c r="F64" s="23">
        <v>1580</v>
      </c>
      <c r="G64" s="39">
        <f t="shared" si="14"/>
        <v>1264</v>
      </c>
      <c r="H64" s="39">
        <v>1450</v>
      </c>
      <c r="I64" s="39">
        <f t="shared" si="15"/>
        <v>1160</v>
      </c>
      <c r="J64" s="73">
        <v>1910</v>
      </c>
      <c r="K64" s="73">
        <f t="shared" si="16"/>
        <v>1528</v>
      </c>
      <c r="L64" s="73">
        <v>2035</v>
      </c>
      <c r="M64" s="73">
        <f t="shared" si="16"/>
        <v>1628</v>
      </c>
      <c r="N64" s="73">
        <v>2075</v>
      </c>
      <c r="O64" s="73">
        <f t="shared" si="17"/>
        <v>1660</v>
      </c>
      <c r="P64" s="73">
        <v>2120</v>
      </c>
      <c r="Q64" s="73">
        <f t="shared" si="18"/>
        <v>1696</v>
      </c>
    </row>
    <row r="65" spans="1:17" ht="15.75" customHeight="1" x14ac:dyDescent="0.15">
      <c r="A65" s="32" t="s">
        <v>138</v>
      </c>
      <c r="B65" s="23">
        <v>1740</v>
      </c>
      <c r="C65" s="39">
        <f t="shared" si="13"/>
        <v>1392</v>
      </c>
      <c r="D65" s="23">
        <v>1795</v>
      </c>
      <c r="E65" s="39">
        <f t="shared" si="13"/>
        <v>1436</v>
      </c>
      <c r="F65" s="23">
        <v>1795</v>
      </c>
      <c r="G65" s="39">
        <f t="shared" si="14"/>
        <v>1436</v>
      </c>
      <c r="H65" s="39">
        <v>1700</v>
      </c>
      <c r="I65" s="39">
        <f t="shared" si="15"/>
        <v>1360</v>
      </c>
      <c r="J65" s="73">
        <v>2020</v>
      </c>
      <c r="K65" s="73">
        <f t="shared" si="16"/>
        <v>1616</v>
      </c>
      <c r="L65" s="73">
        <v>2155</v>
      </c>
      <c r="M65" s="73">
        <f t="shared" si="16"/>
        <v>1724</v>
      </c>
      <c r="N65" s="73">
        <v>2200</v>
      </c>
      <c r="O65" s="73">
        <f t="shared" si="17"/>
        <v>1760</v>
      </c>
      <c r="P65" s="73">
        <v>2245</v>
      </c>
      <c r="Q65" s="73">
        <f t="shared" si="18"/>
        <v>1796</v>
      </c>
    </row>
    <row r="66" spans="1:17" ht="15.75" customHeight="1" x14ac:dyDescent="0.15">
      <c r="A66" s="32" t="s">
        <v>139</v>
      </c>
      <c r="B66" s="23">
        <f>B65+50</f>
        <v>1790</v>
      </c>
      <c r="C66" s="39">
        <f t="shared" si="13"/>
        <v>1432</v>
      </c>
      <c r="D66" s="23">
        <f>D65+50</f>
        <v>1845</v>
      </c>
      <c r="E66" s="39">
        <f>D66*0.8</f>
        <v>1476</v>
      </c>
      <c r="F66" s="23">
        <f>F65+50</f>
        <v>1845</v>
      </c>
      <c r="G66" s="39">
        <f t="shared" si="14"/>
        <v>1476</v>
      </c>
      <c r="H66" s="23">
        <f>H65+50</f>
        <v>1750</v>
      </c>
      <c r="I66" s="39">
        <f t="shared" si="15"/>
        <v>1400</v>
      </c>
      <c r="J66" s="73">
        <f>J65+60</f>
        <v>2080</v>
      </c>
      <c r="K66" s="73">
        <f t="shared" si="16"/>
        <v>1664</v>
      </c>
      <c r="L66" s="73">
        <f>L65+60</f>
        <v>2215</v>
      </c>
      <c r="M66" s="73">
        <f t="shared" si="16"/>
        <v>1772</v>
      </c>
      <c r="N66" s="73">
        <f>N65+60</f>
        <v>2260</v>
      </c>
      <c r="O66" s="73">
        <f t="shared" si="17"/>
        <v>1808</v>
      </c>
      <c r="P66" s="73">
        <f>P65+60</f>
        <v>2305</v>
      </c>
      <c r="Q66" s="73">
        <f t="shared" si="18"/>
        <v>1844</v>
      </c>
    </row>
    <row r="67" spans="1:17" ht="19.5" customHeight="1" x14ac:dyDescent="0.15">
      <c r="A67" s="69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</row>
    <row r="68" spans="1:17" x14ac:dyDescent="0.15">
      <c r="A68" s="57" t="s">
        <v>56</v>
      </c>
    </row>
    <row r="69" spans="1:17" x14ac:dyDescent="0.15">
      <c r="A69" s="57" t="s">
        <v>140</v>
      </c>
    </row>
    <row r="70" spans="1:17" x14ac:dyDescent="0.15">
      <c r="A70" s="57" t="s">
        <v>141</v>
      </c>
    </row>
    <row r="71" spans="1:17" x14ac:dyDescent="0.15">
      <c r="A71" s="57" t="s">
        <v>142</v>
      </c>
    </row>
    <row r="72" spans="1:17" x14ac:dyDescent="0.15">
      <c r="A72" s="57" t="s">
        <v>143</v>
      </c>
    </row>
    <row r="73" spans="1:17" x14ac:dyDescent="0.15">
      <c r="A73" s="57" t="s">
        <v>144</v>
      </c>
    </row>
    <row r="74" spans="1:17" x14ac:dyDescent="0.15">
      <c r="A74" s="57" t="s">
        <v>171</v>
      </c>
    </row>
    <row r="75" spans="1:17" x14ac:dyDescent="0.15">
      <c r="A75" s="57" t="s">
        <v>170</v>
      </c>
    </row>
    <row r="76" spans="1:17" x14ac:dyDescent="0.15">
      <c r="A76" s="57" t="s">
        <v>169</v>
      </c>
    </row>
    <row r="79" spans="1:17" x14ac:dyDescent="0.15">
      <c r="K79" s="86"/>
    </row>
  </sheetData>
  <mergeCells count="125">
    <mergeCell ref="N12:O12"/>
    <mergeCell ref="P12:Q12"/>
    <mergeCell ref="J9:K9"/>
    <mergeCell ref="N8:O8"/>
    <mergeCell ref="L8:M8"/>
    <mergeCell ref="J3:Q3"/>
    <mergeCell ref="J11:K11"/>
    <mergeCell ref="L11:M11"/>
    <mergeCell ref="N11:O11"/>
    <mergeCell ref="P11:Q11"/>
    <mergeCell ref="N7:O7"/>
    <mergeCell ref="P7:Q7"/>
    <mergeCell ref="L9:M9"/>
    <mergeCell ref="N9:O9"/>
    <mergeCell ref="P9:Q9"/>
    <mergeCell ref="J10:K10"/>
    <mergeCell ref="L10:M10"/>
    <mergeCell ref="N10:O10"/>
    <mergeCell ref="P10:Q10"/>
    <mergeCell ref="P8:Q8"/>
    <mergeCell ref="N4:O4"/>
    <mergeCell ref="P4:Q4"/>
    <mergeCell ref="J6:K6"/>
    <mergeCell ref="L6:M6"/>
    <mergeCell ref="N6:O6"/>
    <mergeCell ref="P6:Q6"/>
    <mergeCell ref="B12:C12"/>
    <mergeCell ref="D12:E12"/>
    <mergeCell ref="F12:G12"/>
    <mergeCell ref="H12:I12"/>
    <mergeCell ref="J4:K4"/>
    <mergeCell ref="L4:M4"/>
    <mergeCell ref="J7:K7"/>
    <mergeCell ref="L7:M7"/>
    <mergeCell ref="J12:K12"/>
    <mergeCell ref="L12:M12"/>
    <mergeCell ref="B10:C10"/>
    <mergeCell ref="D10:E10"/>
    <mergeCell ref="F10:G10"/>
    <mergeCell ref="H10:I10"/>
    <mergeCell ref="B11:C11"/>
    <mergeCell ref="D11:E11"/>
    <mergeCell ref="F11:G11"/>
    <mergeCell ref="H11:I11"/>
    <mergeCell ref="B7:C7"/>
    <mergeCell ref="D7:E7"/>
    <mergeCell ref="F7:G7"/>
    <mergeCell ref="H7:I7"/>
    <mergeCell ref="B9:C9"/>
    <mergeCell ref="D9:E9"/>
    <mergeCell ref="F9:G9"/>
    <mergeCell ref="H9:I9"/>
    <mergeCell ref="B3:I3"/>
    <mergeCell ref="B4:C4"/>
    <mergeCell ref="D4:E4"/>
    <mergeCell ref="F4:G4"/>
    <mergeCell ref="H4:I4"/>
    <mergeCell ref="B6:C6"/>
    <mergeCell ref="D6:E6"/>
    <mergeCell ref="F6:G6"/>
    <mergeCell ref="H6:I6"/>
    <mergeCell ref="N44:O44"/>
    <mergeCell ref="P44:Q44"/>
    <mergeCell ref="P47:Q47"/>
    <mergeCell ref="B43:I43"/>
    <mergeCell ref="J43:Q43"/>
    <mergeCell ref="A1:Q1"/>
    <mergeCell ref="J44:K44"/>
    <mergeCell ref="N46:O46"/>
    <mergeCell ref="P46:Q46"/>
    <mergeCell ref="B44:C44"/>
    <mergeCell ref="L44:M44"/>
    <mergeCell ref="F47:G47"/>
    <mergeCell ref="H47:I47"/>
    <mergeCell ref="L47:M47"/>
    <mergeCell ref="D44:E44"/>
    <mergeCell ref="F44:G44"/>
    <mergeCell ref="H44:I44"/>
    <mergeCell ref="B46:C46"/>
    <mergeCell ref="D46:E46"/>
    <mergeCell ref="F46:G46"/>
    <mergeCell ref="H46:I46"/>
    <mergeCell ref="L46:M46"/>
    <mergeCell ref="N47:O47"/>
    <mergeCell ref="B47:C47"/>
    <mergeCell ref="D47:E47"/>
    <mergeCell ref="J49:K49"/>
    <mergeCell ref="L49:M49"/>
    <mergeCell ref="N49:O49"/>
    <mergeCell ref="B48:C48"/>
    <mergeCell ref="D48:E48"/>
    <mergeCell ref="F48:G48"/>
    <mergeCell ref="H48:I48"/>
    <mergeCell ref="L48:M48"/>
    <mergeCell ref="N48:O48"/>
    <mergeCell ref="P49:Q49"/>
    <mergeCell ref="B50:C50"/>
    <mergeCell ref="D50:E50"/>
    <mergeCell ref="F50:G50"/>
    <mergeCell ref="H50:I50"/>
    <mergeCell ref="P48:Q48"/>
    <mergeCell ref="B49:C49"/>
    <mergeCell ref="D49:E49"/>
    <mergeCell ref="F49:G49"/>
    <mergeCell ref="H49:I49"/>
    <mergeCell ref="P51:Q51"/>
    <mergeCell ref="J46:K46"/>
    <mergeCell ref="J47:K47"/>
    <mergeCell ref="J48:K48"/>
    <mergeCell ref="J50:K50"/>
    <mergeCell ref="J51:K51"/>
    <mergeCell ref="L50:M50"/>
    <mergeCell ref="N50:O50"/>
    <mergeCell ref="P50:Q50"/>
    <mergeCell ref="L51:M51"/>
    <mergeCell ref="J8:K8"/>
    <mergeCell ref="H8:I8"/>
    <mergeCell ref="F8:G8"/>
    <mergeCell ref="D8:E8"/>
    <mergeCell ref="B8:C8"/>
    <mergeCell ref="N51:O51"/>
    <mergeCell ref="B51:C51"/>
    <mergeCell ref="D51:E51"/>
    <mergeCell ref="F51:G51"/>
    <mergeCell ref="H51:I5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>
      <selection activeCell="B17" sqref="B17"/>
    </sheetView>
  </sheetViews>
  <sheetFormatPr defaultColWidth="9" defaultRowHeight="14.25" x14ac:dyDescent="0.15"/>
  <cols>
    <col min="1" max="1" width="22.875" customWidth="1"/>
    <col min="2" max="7" width="5.75" customWidth="1"/>
    <col min="8" max="8" width="7" customWidth="1"/>
    <col min="9" max="10" width="6.625" customWidth="1"/>
    <col min="11" max="11" width="5.5" customWidth="1"/>
    <col min="12" max="12" width="7.375" customWidth="1"/>
    <col min="13" max="13" width="6.125" customWidth="1"/>
    <col min="14" max="17" width="6.5" customWidth="1"/>
  </cols>
  <sheetData>
    <row r="1" spans="1:17" ht="24.75" customHeight="1" x14ac:dyDescent="0.15">
      <c r="A1" s="165" t="s">
        <v>177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7" ht="15" customHeight="1" x14ac:dyDescent="0.15">
      <c r="A2" s="74"/>
      <c r="B2" s="75" t="s">
        <v>181</v>
      </c>
      <c r="C2" s="76"/>
      <c r="E2" s="76"/>
      <c r="F2" s="76"/>
      <c r="G2" s="77" t="s">
        <v>126</v>
      </c>
      <c r="H2" s="76"/>
      <c r="J2" s="77" t="s">
        <v>176</v>
      </c>
      <c r="L2" s="78"/>
      <c r="N2" s="76"/>
    </row>
    <row r="3" spans="1:17" ht="15" customHeight="1" x14ac:dyDescent="0.15">
      <c r="A3" s="24" t="s">
        <v>68</v>
      </c>
      <c r="B3" s="139" t="s">
        <v>66</v>
      </c>
      <c r="C3" s="140"/>
      <c r="D3" s="140"/>
      <c r="E3" s="140"/>
      <c r="F3" s="140"/>
      <c r="G3" s="140"/>
      <c r="H3" s="140"/>
      <c r="I3" s="141"/>
      <c r="J3" s="128" t="s">
        <v>172</v>
      </c>
      <c r="K3" s="140"/>
      <c r="L3" s="140"/>
      <c r="M3" s="140"/>
      <c r="N3" s="140"/>
      <c r="O3" s="140"/>
      <c r="P3" s="140"/>
      <c r="Q3" s="141"/>
    </row>
    <row r="4" spans="1:17" ht="15" customHeight="1" x14ac:dyDescent="0.15">
      <c r="A4" s="24" t="s">
        <v>58</v>
      </c>
      <c r="B4" s="128">
        <v>0.8</v>
      </c>
      <c r="C4" s="129"/>
      <c r="D4" s="128">
        <v>0.8</v>
      </c>
      <c r="E4" s="129"/>
      <c r="F4" s="128">
        <v>0.8</v>
      </c>
      <c r="G4" s="129"/>
      <c r="H4" s="128">
        <v>0.8</v>
      </c>
      <c r="I4" s="129"/>
      <c r="J4" s="130">
        <v>0.8</v>
      </c>
      <c r="K4" s="131"/>
      <c r="L4" s="130">
        <v>0.8</v>
      </c>
      <c r="M4" s="131"/>
      <c r="N4" s="130">
        <v>0.8</v>
      </c>
      <c r="O4" s="131"/>
      <c r="P4" s="130">
        <v>0.8</v>
      </c>
      <c r="Q4" s="131"/>
    </row>
    <row r="5" spans="1:17" ht="15" customHeight="1" x14ac:dyDescent="0.15">
      <c r="A5" s="24" t="s">
        <v>59</v>
      </c>
      <c r="B5" s="17"/>
      <c r="C5" s="18"/>
      <c r="D5" s="17"/>
      <c r="E5" s="18"/>
      <c r="F5" s="17"/>
      <c r="G5" s="18"/>
      <c r="H5" s="53"/>
      <c r="I5" s="53"/>
      <c r="J5" s="20"/>
      <c r="K5" s="21"/>
      <c r="L5" s="20"/>
      <c r="M5" s="21"/>
      <c r="N5" s="20"/>
      <c r="O5" s="21"/>
      <c r="P5" s="20"/>
      <c r="Q5" s="21"/>
    </row>
    <row r="6" spans="1:17" ht="15" customHeight="1" x14ac:dyDescent="0.15">
      <c r="A6" s="24" t="s">
        <v>104</v>
      </c>
      <c r="B6" s="128">
        <v>380</v>
      </c>
      <c r="C6" s="129"/>
      <c r="D6" s="137">
        <v>400</v>
      </c>
      <c r="E6" s="137"/>
      <c r="F6" s="128">
        <v>415</v>
      </c>
      <c r="G6" s="129"/>
      <c r="H6" s="128">
        <v>440</v>
      </c>
      <c r="I6" s="129"/>
      <c r="J6" s="126">
        <v>416</v>
      </c>
      <c r="K6" s="127"/>
      <c r="L6" s="130">
        <v>440</v>
      </c>
      <c r="M6" s="131"/>
      <c r="N6" s="130">
        <v>460</v>
      </c>
      <c r="O6" s="131"/>
      <c r="P6" s="130">
        <v>480</v>
      </c>
      <c r="Q6" s="131"/>
    </row>
    <row r="7" spans="1:17" ht="15" customHeight="1" x14ac:dyDescent="0.15">
      <c r="A7" s="24" t="s">
        <v>105</v>
      </c>
      <c r="B7" s="128">
        <v>220</v>
      </c>
      <c r="C7" s="129"/>
      <c r="D7" s="128">
        <v>230</v>
      </c>
      <c r="E7" s="129"/>
      <c r="F7" s="128">
        <v>240</v>
      </c>
      <c r="G7" s="129"/>
      <c r="H7" s="128">
        <v>254</v>
      </c>
      <c r="I7" s="129"/>
      <c r="J7" s="126">
        <v>240</v>
      </c>
      <c r="K7" s="127"/>
      <c r="L7" s="126">
        <v>254</v>
      </c>
      <c r="M7" s="127"/>
      <c r="N7" s="126">
        <v>266</v>
      </c>
      <c r="O7" s="127"/>
      <c r="P7" s="126">
        <v>277</v>
      </c>
      <c r="Q7" s="127"/>
    </row>
    <row r="8" spans="1:17" ht="15" customHeight="1" x14ac:dyDescent="0.15">
      <c r="A8" s="24" t="s">
        <v>106</v>
      </c>
      <c r="B8" s="128">
        <v>380</v>
      </c>
      <c r="C8" s="129"/>
      <c r="D8" s="128">
        <v>400</v>
      </c>
      <c r="E8" s="129"/>
      <c r="F8" s="128">
        <v>415</v>
      </c>
      <c r="G8" s="129"/>
      <c r="H8" s="128">
        <v>440</v>
      </c>
      <c r="I8" s="129"/>
      <c r="J8" s="126">
        <v>416</v>
      </c>
      <c r="K8" s="127"/>
      <c r="L8" s="130">
        <v>440</v>
      </c>
      <c r="M8" s="131"/>
      <c r="N8" s="130">
        <v>460</v>
      </c>
      <c r="O8" s="131"/>
      <c r="P8" s="130">
        <v>480</v>
      </c>
      <c r="Q8" s="131"/>
    </row>
    <row r="9" spans="1:17" ht="15" customHeight="1" x14ac:dyDescent="0.15">
      <c r="A9" s="24" t="s">
        <v>107</v>
      </c>
      <c r="B9" s="128">
        <v>190</v>
      </c>
      <c r="C9" s="129"/>
      <c r="D9" s="128">
        <v>200</v>
      </c>
      <c r="E9" s="129"/>
      <c r="F9" s="128">
        <v>208</v>
      </c>
      <c r="G9" s="129"/>
      <c r="H9" s="128">
        <v>220</v>
      </c>
      <c r="I9" s="129"/>
      <c r="J9" s="126">
        <v>208</v>
      </c>
      <c r="K9" s="127"/>
      <c r="L9" s="126">
        <v>220</v>
      </c>
      <c r="M9" s="127"/>
      <c r="N9" s="126">
        <v>230</v>
      </c>
      <c r="O9" s="127"/>
      <c r="P9" s="126">
        <v>240</v>
      </c>
      <c r="Q9" s="127"/>
    </row>
    <row r="10" spans="1:17" ht="15" customHeight="1" x14ac:dyDescent="0.15">
      <c r="A10" s="25" t="s">
        <v>62</v>
      </c>
      <c r="B10" s="128">
        <v>220</v>
      </c>
      <c r="C10" s="129"/>
      <c r="D10" s="128">
        <v>230</v>
      </c>
      <c r="E10" s="129"/>
      <c r="F10" s="128">
        <v>240</v>
      </c>
      <c r="G10" s="129"/>
      <c r="H10" s="128">
        <v>254</v>
      </c>
      <c r="I10" s="129"/>
      <c r="J10" s="126">
        <v>240</v>
      </c>
      <c r="K10" s="127"/>
      <c r="L10" s="126">
        <v>254</v>
      </c>
      <c r="M10" s="127"/>
      <c r="N10" s="126">
        <v>266</v>
      </c>
      <c r="O10" s="127"/>
      <c r="P10" s="126">
        <v>277</v>
      </c>
      <c r="Q10" s="127"/>
    </row>
    <row r="11" spans="1:17" ht="15" customHeight="1" x14ac:dyDescent="0.15">
      <c r="A11" s="68" t="s">
        <v>115</v>
      </c>
      <c r="B11" s="128">
        <f>B10/2</f>
        <v>110</v>
      </c>
      <c r="C11" s="129"/>
      <c r="D11" s="128">
        <f>D10/2</f>
        <v>115</v>
      </c>
      <c r="E11" s="129"/>
      <c r="F11" s="128">
        <f>F10/2</f>
        <v>120</v>
      </c>
      <c r="G11" s="129"/>
      <c r="H11" s="128">
        <f>H10/2</f>
        <v>127</v>
      </c>
      <c r="I11" s="129"/>
      <c r="J11" s="126">
        <f>J10/2</f>
        <v>120</v>
      </c>
      <c r="K11" s="127"/>
      <c r="L11" s="126">
        <f>L10/2</f>
        <v>127</v>
      </c>
      <c r="M11" s="127"/>
      <c r="N11" s="126">
        <f>N10/2</f>
        <v>133</v>
      </c>
      <c r="O11" s="127"/>
      <c r="P11" s="126">
        <f>P10/2</f>
        <v>138.5</v>
      </c>
      <c r="Q11" s="127"/>
    </row>
    <row r="12" spans="1:17" ht="15" customHeight="1" x14ac:dyDescent="0.15">
      <c r="A12" s="25" t="s">
        <v>63</v>
      </c>
      <c r="B12" s="128">
        <v>11</v>
      </c>
      <c r="C12" s="129"/>
      <c r="D12" s="128">
        <v>11</v>
      </c>
      <c r="E12" s="129"/>
      <c r="F12" s="128">
        <v>11</v>
      </c>
      <c r="G12" s="129"/>
      <c r="H12" s="128">
        <v>11</v>
      </c>
      <c r="I12" s="129"/>
      <c r="J12" s="126">
        <v>11</v>
      </c>
      <c r="K12" s="127"/>
      <c r="L12" s="126">
        <v>11</v>
      </c>
      <c r="M12" s="127"/>
      <c r="N12" s="126">
        <v>11</v>
      </c>
      <c r="O12" s="127"/>
      <c r="P12" s="126">
        <v>11</v>
      </c>
      <c r="Q12" s="127"/>
    </row>
    <row r="13" spans="1:17" ht="15" customHeight="1" x14ac:dyDescent="0.15">
      <c r="A13" s="36" t="s">
        <v>64</v>
      </c>
      <c r="B13" s="19" t="s">
        <v>0</v>
      </c>
      <c r="C13" s="19" t="s">
        <v>1</v>
      </c>
      <c r="D13" s="19" t="s">
        <v>0</v>
      </c>
      <c r="E13" s="19" t="s">
        <v>1</v>
      </c>
      <c r="F13" s="19" t="s">
        <v>0</v>
      </c>
      <c r="G13" s="19" t="s">
        <v>1</v>
      </c>
      <c r="H13" s="19" t="s">
        <v>0</v>
      </c>
      <c r="I13" s="19" t="s">
        <v>1</v>
      </c>
      <c r="J13" s="23" t="s">
        <v>0</v>
      </c>
      <c r="K13" s="23" t="s">
        <v>1</v>
      </c>
      <c r="L13" s="23" t="s">
        <v>0</v>
      </c>
      <c r="M13" s="23" t="s">
        <v>1</v>
      </c>
      <c r="N13" s="23" t="s">
        <v>0</v>
      </c>
      <c r="O13" s="23" t="s">
        <v>1</v>
      </c>
      <c r="P13" s="23" t="s">
        <v>0</v>
      </c>
      <c r="Q13" s="23" t="s">
        <v>1</v>
      </c>
    </row>
    <row r="14" spans="1:17" ht="15" customHeight="1" x14ac:dyDescent="0.15">
      <c r="A14" s="31" t="s">
        <v>145</v>
      </c>
      <c r="B14" s="29">
        <v>16.5</v>
      </c>
      <c r="C14" s="29">
        <f>B14*0.8</f>
        <v>13.200000000000001</v>
      </c>
      <c r="D14" s="29">
        <v>16.5</v>
      </c>
      <c r="E14" s="29">
        <f>D14*0.8</f>
        <v>13.200000000000001</v>
      </c>
      <c r="F14" s="29">
        <v>16.5</v>
      </c>
      <c r="G14" s="29">
        <f>F14*0.8</f>
        <v>13.200000000000001</v>
      </c>
      <c r="H14" s="55" t="s">
        <v>53</v>
      </c>
      <c r="I14" s="55" t="s">
        <v>53</v>
      </c>
      <c r="J14" s="27">
        <v>20</v>
      </c>
      <c r="K14" s="27">
        <f>J14*0.8</f>
        <v>16</v>
      </c>
      <c r="L14" s="27">
        <v>21.3</v>
      </c>
      <c r="M14" s="27">
        <f>L14*0.8</f>
        <v>17.040000000000003</v>
      </c>
      <c r="N14" s="27">
        <v>21.3</v>
      </c>
      <c r="O14" s="80">
        <f>N14*0.8</f>
        <v>17.040000000000003</v>
      </c>
      <c r="P14" s="27">
        <v>21.3</v>
      </c>
      <c r="Q14" s="80">
        <f>P14*0.8</f>
        <v>17.040000000000003</v>
      </c>
    </row>
    <row r="15" spans="1:17" ht="15" customHeight="1" x14ac:dyDescent="0.15">
      <c r="A15" s="31" t="s">
        <v>146</v>
      </c>
      <c r="B15" s="29">
        <v>22</v>
      </c>
      <c r="C15" s="29">
        <f>B15*0.8</f>
        <v>17.600000000000001</v>
      </c>
      <c r="D15" s="29">
        <v>22</v>
      </c>
      <c r="E15" s="29">
        <f>D15*0.8</f>
        <v>17.600000000000001</v>
      </c>
      <c r="F15" s="29">
        <v>22</v>
      </c>
      <c r="G15" s="29">
        <f>F15*0.8</f>
        <v>17.600000000000001</v>
      </c>
      <c r="H15" s="55" t="s">
        <v>53</v>
      </c>
      <c r="I15" s="55" t="s">
        <v>53</v>
      </c>
      <c r="J15" s="27">
        <v>25.4</v>
      </c>
      <c r="K15" s="27">
        <f>J15*0.8</f>
        <v>20.32</v>
      </c>
      <c r="L15" s="27">
        <v>27</v>
      </c>
      <c r="M15" s="27">
        <f>L15*0.8</f>
        <v>21.6</v>
      </c>
      <c r="N15" s="27">
        <v>27</v>
      </c>
      <c r="O15" s="80">
        <f>N15*0.8</f>
        <v>21.6</v>
      </c>
      <c r="P15" s="27">
        <v>27</v>
      </c>
      <c r="Q15" s="80">
        <f>P15*0.8</f>
        <v>21.6</v>
      </c>
    </row>
    <row r="16" spans="1:17" ht="15" customHeight="1" x14ac:dyDescent="0.15">
      <c r="A16" s="31" t="s">
        <v>147</v>
      </c>
      <c r="B16" s="29">
        <v>24.8</v>
      </c>
      <c r="C16" s="29">
        <v>25</v>
      </c>
      <c r="D16" s="29">
        <v>25.2</v>
      </c>
      <c r="E16" s="29">
        <v>25.4</v>
      </c>
      <c r="F16" s="29">
        <v>25.6</v>
      </c>
      <c r="G16" s="29">
        <v>25.8</v>
      </c>
      <c r="H16" s="55" t="s">
        <v>53</v>
      </c>
      <c r="I16" s="55" t="s">
        <v>53</v>
      </c>
      <c r="J16" s="27">
        <v>27.9</v>
      </c>
      <c r="K16" s="27">
        <f>J16*0.8</f>
        <v>22.32</v>
      </c>
      <c r="L16" s="27">
        <v>29.5</v>
      </c>
      <c r="M16" s="27">
        <f>L16*0.8</f>
        <v>23.6</v>
      </c>
      <c r="N16" s="27">
        <v>29.5</v>
      </c>
      <c r="O16" s="80">
        <f>N16*0.8</f>
        <v>23.6</v>
      </c>
      <c r="P16" s="27">
        <v>29.5</v>
      </c>
      <c r="Q16" s="80">
        <f>P16*0.8</f>
        <v>23.6</v>
      </c>
    </row>
    <row r="17" spans="1:17" ht="15" customHeight="1" x14ac:dyDescent="0.15">
      <c r="A17" s="31" t="s">
        <v>148</v>
      </c>
      <c r="B17" s="29">
        <v>33.799999999999997</v>
      </c>
      <c r="C17" s="29">
        <f>B17*0.8</f>
        <v>27.04</v>
      </c>
      <c r="D17" s="29">
        <v>33.799999999999997</v>
      </c>
      <c r="E17" s="29">
        <f>D17*0.8</f>
        <v>27.04</v>
      </c>
      <c r="F17" s="29">
        <v>33.799999999999997</v>
      </c>
      <c r="G17" s="29">
        <f>F17*0.8</f>
        <v>27.04</v>
      </c>
      <c r="H17" s="55" t="s">
        <v>53</v>
      </c>
      <c r="I17" s="55" t="s">
        <v>53</v>
      </c>
      <c r="J17" s="27">
        <v>39.9</v>
      </c>
      <c r="K17" s="27">
        <f>J17*0.8</f>
        <v>31.92</v>
      </c>
      <c r="L17" s="27">
        <v>42</v>
      </c>
      <c r="M17" s="27">
        <f>L17*0.8</f>
        <v>33.6</v>
      </c>
      <c r="N17" s="27">
        <v>42</v>
      </c>
      <c r="O17" s="80">
        <f>N17*0.8</f>
        <v>33.6</v>
      </c>
      <c r="P17" s="27">
        <v>42</v>
      </c>
      <c r="Q17" s="80">
        <f>P17*0.8</f>
        <v>33.6</v>
      </c>
    </row>
    <row r="18" spans="1:17" ht="15" customHeight="1" x14ac:dyDescent="0.15">
      <c r="A18" s="31" t="s">
        <v>149</v>
      </c>
      <c r="B18" s="29">
        <v>34.200000000000003</v>
      </c>
      <c r="C18" s="29">
        <f>B18*0.8</f>
        <v>27.360000000000003</v>
      </c>
      <c r="D18" s="29">
        <v>34.200000000000003</v>
      </c>
      <c r="E18" s="29">
        <f>D18*0.8</f>
        <v>27.360000000000003</v>
      </c>
      <c r="F18" s="29">
        <v>34.200000000000003</v>
      </c>
      <c r="G18" s="29">
        <f>F18*0.8</f>
        <v>27.360000000000003</v>
      </c>
      <c r="H18" s="55" t="s">
        <v>53</v>
      </c>
      <c r="I18" s="55" t="s">
        <v>53</v>
      </c>
      <c r="J18" s="27">
        <v>40.4</v>
      </c>
      <c r="K18" s="27">
        <f>J18*0.8</f>
        <v>32.32</v>
      </c>
      <c r="L18" s="27">
        <v>42.8</v>
      </c>
      <c r="M18" s="27">
        <f>L18*0.8</f>
        <v>34.24</v>
      </c>
      <c r="N18" s="27">
        <v>42.8</v>
      </c>
      <c r="O18" s="80">
        <f>N18*0.8</f>
        <v>34.24</v>
      </c>
      <c r="P18" s="27">
        <v>42.8</v>
      </c>
      <c r="Q18" s="80">
        <f>P18*0.8</f>
        <v>34.24</v>
      </c>
    </row>
    <row r="19" spans="1:17" ht="15" customHeight="1" x14ac:dyDescent="0.15">
      <c r="A19" s="31"/>
      <c r="B19" s="29"/>
      <c r="C19" s="29"/>
      <c r="D19" s="29"/>
      <c r="E19" s="29"/>
      <c r="F19" s="29"/>
      <c r="G19" s="29"/>
      <c r="H19" s="29"/>
      <c r="I19" s="29"/>
      <c r="J19" s="27"/>
      <c r="K19" s="27"/>
      <c r="L19" s="27"/>
      <c r="M19" s="27"/>
      <c r="N19" s="27"/>
      <c r="O19" s="27"/>
      <c r="P19" s="27"/>
      <c r="Q19" s="27"/>
    </row>
    <row r="20" spans="1:17" ht="15" customHeight="1" x14ac:dyDescent="0.15">
      <c r="A20" s="31" t="s">
        <v>150</v>
      </c>
      <c r="B20" s="30">
        <v>38</v>
      </c>
      <c r="C20" s="30">
        <f>B20*0.8</f>
        <v>30.400000000000002</v>
      </c>
      <c r="D20" s="30">
        <v>38</v>
      </c>
      <c r="E20" s="30">
        <f>D20*0.8</f>
        <v>30.400000000000002</v>
      </c>
      <c r="F20" s="30">
        <v>38</v>
      </c>
      <c r="G20" s="30">
        <f>F20*0.8</f>
        <v>30.400000000000002</v>
      </c>
      <c r="H20" s="30">
        <v>26.8</v>
      </c>
      <c r="I20" s="79">
        <f>H20*0.8</f>
        <v>21.44</v>
      </c>
      <c r="J20" s="28">
        <v>43.8</v>
      </c>
      <c r="K20" s="28">
        <f>J20*0.8</f>
        <v>35.04</v>
      </c>
      <c r="L20" s="28">
        <v>44.7</v>
      </c>
      <c r="M20" s="28">
        <f>L20*0.8</f>
        <v>35.760000000000005</v>
      </c>
      <c r="N20" s="28">
        <v>44.7</v>
      </c>
      <c r="O20" s="28">
        <f>N20*0.8</f>
        <v>35.760000000000005</v>
      </c>
      <c r="P20" s="28">
        <v>46.5</v>
      </c>
      <c r="Q20" s="43">
        <f>P20*0.8</f>
        <v>37.200000000000003</v>
      </c>
    </row>
    <row r="21" spans="1:17" ht="15" customHeight="1" x14ac:dyDescent="0.15">
      <c r="A21" s="31" t="s">
        <v>151</v>
      </c>
      <c r="B21" s="30">
        <v>44</v>
      </c>
      <c r="C21" s="30">
        <f t="shared" ref="C21:C26" si="0">B21*0.8</f>
        <v>35.200000000000003</v>
      </c>
      <c r="D21" s="30">
        <v>44</v>
      </c>
      <c r="E21" s="30">
        <f>D21*0.8</f>
        <v>35.200000000000003</v>
      </c>
      <c r="F21" s="30">
        <v>44</v>
      </c>
      <c r="G21" s="30">
        <f>F21*0.8</f>
        <v>35.200000000000003</v>
      </c>
      <c r="H21" s="30">
        <v>32.700000000000003</v>
      </c>
      <c r="I21" s="79">
        <f>H21*0.8</f>
        <v>26.160000000000004</v>
      </c>
      <c r="J21" s="28">
        <v>51</v>
      </c>
      <c r="K21" s="28">
        <f>J21*0.8</f>
        <v>40.800000000000004</v>
      </c>
      <c r="L21" s="28">
        <v>52.1</v>
      </c>
      <c r="M21" s="28">
        <f>L21*0.8</f>
        <v>41.680000000000007</v>
      </c>
      <c r="N21" s="28">
        <v>54.3</v>
      </c>
      <c r="O21" s="28">
        <f>N21*0.8</f>
        <v>43.44</v>
      </c>
      <c r="P21" s="28">
        <v>56.3</v>
      </c>
      <c r="Q21" s="43">
        <f>P21*0.8</f>
        <v>45.04</v>
      </c>
    </row>
    <row r="22" spans="1:17" ht="15" customHeight="1" x14ac:dyDescent="0.15">
      <c r="A22" s="31" t="s">
        <v>152</v>
      </c>
      <c r="B22" s="30">
        <v>52.3</v>
      </c>
      <c r="C22" s="30">
        <f t="shared" si="0"/>
        <v>41.84</v>
      </c>
      <c r="D22" s="30">
        <v>52.3</v>
      </c>
      <c r="E22" s="30">
        <f>D22*0.8</f>
        <v>41.84</v>
      </c>
      <c r="F22" s="30">
        <v>52.3</v>
      </c>
      <c r="G22" s="30">
        <f>F22*0.8</f>
        <v>41.84</v>
      </c>
      <c r="H22" s="30">
        <v>40.200000000000003</v>
      </c>
      <c r="I22" s="79">
        <f>H22*0.8</f>
        <v>32.160000000000004</v>
      </c>
      <c r="J22" s="28">
        <v>60</v>
      </c>
      <c r="K22" s="28">
        <f>J22*0.8</f>
        <v>48</v>
      </c>
      <c r="L22" s="28">
        <v>63</v>
      </c>
      <c r="M22" s="28">
        <f>L22*0.8</f>
        <v>50.400000000000006</v>
      </c>
      <c r="N22" s="28">
        <v>63</v>
      </c>
      <c r="O22" s="28">
        <f>N22*0.8</f>
        <v>50.400000000000006</v>
      </c>
      <c r="P22" s="28">
        <v>66</v>
      </c>
      <c r="Q22" s="43">
        <f>P22*0.8</f>
        <v>52.800000000000004</v>
      </c>
    </row>
    <row r="23" spans="1:17" ht="15" customHeight="1" x14ac:dyDescent="0.15">
      <c r="A23" s="31" t="s">
        <v>153</v>
      </c>
      <c r="B23" s="30">
        <v>63.3</v>
      </c>
      <c r="C23" s="30">
        <f t="shared" si="0"/>
        <v>50.64</v>
      </c>
      <c r="D23" s="30">
        <v>63.3</v>
      </c>
      <c r="E23" s="30">
        <f>D23*0.8</f>
        <v>50.64</v>
      </c>
      <c r="F23" s="30">
        <v>63.3</v>
      </c>
      <c r="G23" s="30">
        <f>F23*0.8</f>
        <v>50.64</v>
      </c>
      <c r="H23" s="30">
        <v>49.1</v>
      </c>
      <c r="I23" s="79">
        <f>H23*0.8</f>
        <v>39.28</v>
      </c>
      <c r="J23" s="28">
        <v>72.5</v>
      </c>
      <c r="K23" s="28">
        <f>J23*0.8</f>
        <v>58</v>
      </c>
      <c r="L23" s="28">
        <v>75.599999999999994</v>
      </c>
      <c r="M23" s="28">
        <f>L23*0.8</f>
        <v>60.48</v>
      </c>
      <c r="N23" s="28">
        <v>75.599999999999994</v>
      </c>
      <c r="O23" s="28">
        <f>N23*0.8</f>
        <v>60.48</v>
      </c>
      <c r="P23" s="28">
        <v>80</v>
      </c>
      <c r="Q23" s="43">
        <f>P23*0.8</f>
        <v>64</v>
      </c>
    </row>
    <row r="24" spans="1:17" ht="15" customHeight="1" x14ac:dyDescent="0.15">
      <c r="A24" s="31" t="s">
        <v>154</v>
      </c>
      <c r="B24" s="30">
        <v>71.5</v>
      </c>
      <c r="C24" s="30">
        <f t="shared" si="0"/>
        <v>57.2</v>
      </c>
      <c r="D24" s="30">
        <v>71.5</v>
      </c>
      <c r="E24" s="30">
        <f>D24*0.8</f>
        <v>57.2</v>
      </c>
      <c r="F24" s="30">
        <v>71.5</v>
      </c>
      <c r="G24" s="30">
        <f>F24*0.8</f>
        <v>57.2</v>
      </c>
      <c r="H24" s="30">
        <v>62.7</v>
      </c>
      <c r="I24" s="79">
        <f>H24*0.8</f>
        <v>50.160000000000004</v>
      </c>
      <c r="J24" s="28">
        <v>84.5</v>
      </c>
      <c r="K24" s="28">
        <f>J24*0.8</f>
        <v>67.600000000000009</v>
      </c>
      <c r="L24" s="28">
        <v>87</v>
      </c>
      <c r="M24" s="28">
        <f>L24*0.8</f>
        <v>69.600000000000009</v>
      </c>
      <c r="N24" s="28">
        <v>91</v>
      </c>
      <c r="O24" s="28">
        <f>N24*0.8</f>
        <v>72.8</v>
      </c>
      <c r="P24" s="28">
        <v>92</v>
      </c>
      <c r="Q24" s="43">
        <f>P24*0.8</f>
        <v>73.600000000000009</v>
      </c>
    </row>
    <row r="25" spans="1:17" ht="15" customHeight="1" x14ac:dyDescent="0.15">
      <c r="A25" s="31"/>
      <c r="B25" s="30"/>
      <c r="C25" s="30"/>
      <c r="D25" s="30"/>
      <c r="E25" s="30"/>
      <c r="F25" s="30"/>
      <c r="G25" s="30"/>
      <c r="H25" s="30"/>
      <c r="I25" s="29"/>
      <c r="J25" s="28"/>
      <c r="K25" s="28"/>
      <c r="L25" s="28"/>
      <c r="M25" s="28"/>
      <c r="N25" s="28"/>
      <c r="O25" s="28"/>
      <c r="P25" s="28"/>
      <c r="Q25" s="28"/>
    </row>
    <row r="26" spans="1:17" ht="15" customHeight="1" x14ac:dyDescent="0.15">
      <c r="A26" s="31" t="s">
        <v>155</v>
      </c>
      <c r="B26" s="30">
        <v>81.5</v>
      </c>
      <c r="C26" s="30">
        <f t="shared" si="0"/>
        <v>65.2</v>
      </c>
      <c r="D26" s="30">
        <v>81.5</v>
      </c>
      <c r="E26" s="30">
        <f t="shared" ref="E26:E31" si="1">D26*0.8</f>
        <v>65.2</v>
      </c>
      <c r="F26" s="30">
        <v>81.5</v>
      </c>
      <c r="G26" s="30">
        <f t="shared" ref="G26:G31" si="2">F26*0.8</f>
        <v>65.2</v>
      </c>
      <c r="H26" s="39" t="s">
        <v>53</v>
      </c>
      <c r="I26" s="55" t="s">
        <v>53</v>
      </c>
      <c r="J26" s="28">
        <v>93.8</v>
      </c>
      <c r="K26" s="28">
        <f t="shared" ref="K26:K31" si="3">J26*0.8</f>
        <v>75.040000000000006</v>
      </c>
      <c r="L26" s="28">
        <v>102.5</v>
      </c>
      <c r="M26" s="28">
        <f t="shared" ref="M26:M31" si="4">L26*0.8</f>
        <v>82</v>
      </c>
      <c r="N26" s="28">
        <v>102.5</v>
      </c>
      <c r="O26" s="28">
        <f>N26*0.8</f>
        <v>82</v>
      </c>
      <c r="P26" s="28">
        <v>108.8</v>
      </c>
      <c r="Q26" s="28">
        <f>P26*0.8</f>
        <v>87.04</v>
      </c>
    </row>
    <row r="27" spans="1:17" ht="15" customHeight="1" x14ac:dyDescent="0.15">
      <c r="A27" s="31" t="s">
        <v>156</v>
      </c>
      <c r="B27" s="30">
        <v>97</v>
      </c>
      <c r="C27" s="30">
        <f>B27*0.8</f>
        <v>77.600000000000009</v>
      </c>
      <c r="D27" s="30">
        <v>97</v>
      </c>
      <c r="E27" s="30">
        <f t="shared" si="1"/>
        <v>77.600000000000009</v>
      </c>
      <c r="F27" s="30">
        <v>97</v>
      </c>
      <c r="G27" s="30">
        <f t="shared" si="2"/>
        <v>77.600000000000009</v>
      </c>
      <c r="H27" s="39" t="s">
        <v>53</v>
      </c>
      <c r="I27" s="55" t="s">
        <v>53</v>
      </c>
      <c r="J27" s="28">
        <v>115</v>
      </c>
      <c r="K27" s="28">
        <f t="shared" si="3"/>
        <v>92</v>
      </c>
      <c r="L27" s="28">
        <v>117.5</v>
      </c>
      <c r="M27" s="28">
        <f t="shared" si="4"/>
        <v>94</v>
      </c>
      <c r="N27" s="28">
        <v>120</v>
      </c>
      <c r="O27" s="28">
        <f>N27*0.8</f>
        <v>96</v>
      </c>
      <c r="P27" s="28">
        <v>125</v>
      </c>
      <c r="Q27" s="28">
        <f>P27*0.8</f>
        <v>100</v>
      </c>
    </row>
    <row r="28" spans="1:17" ht="15" customHeight="1" x14ac:dyDescent="0.15">
      <c r="A28" s="31" t="s">
        <v>157</v>
      </c>
      <c r="B28" s="30">
        <v>120</v>
      </c>
      <c r="C28" s="30">
        <f>B28*0.8</f>
        <v>96</v>
      </c>
      <c r="D28" s="30">
        <v>120</v>
      </c>
      <c r="E28" s="30">
        <f t="shared" si="1"/>
        <v>96</v>
      </c>
      <c r="F28" s="30">
        <v>120</v>
      </c>
      <c r="G28" s="30">
        <f t="shared" si="2"/>
        <v>96</v>
      </c>
      <c r="H28" s="39" t="s">
        <v>53</v>
      </c>
      <c r="I28" s="55" t="s">
        <v>53</v>
      </c>
      <c r="J28" s="28">
        <v>135</v>
      </c>
      <c r="K28" s="28">
        <f t="shared" si="3"/>
        <v>108</v>
      </c>
      <c r="L28" s="28">
        <v>137.5</v>
      </c>
      <c r="M28" s="28">
        <f t="shared" si="4"/>
        <v>110</v>
      </c>
      <c r="N28" s="28">
        <v>140</v>
      </c>
      <c r="O28" s="28">
        <v>134</v>
      </c>
      <c r="P28" s="28">
        <v>144</v>
      </c>
      <c r="Q28" s="28">
        <v>127</v>
      </c>
    </row>
    <row r="29" spans="1:17" ht="15" customHeight="1" x14ac:dyDescent="0.15">
      <c r="A29" s="31" t="s">
        <v>158</v>
      </c>
      <c r="B29" s="30">
        <v>140</v>
      </c>
      <c r="C29" s="30">
        <f>B29*0.8</f>
        <v>112</v>
      </c>
      <c r="D29" s="30">
        <v>140</v>
      </c>
      <c r="E29" s="30">
        <f t="shared" si="1"/>
        <v>112</v>
      </c>
      <c r="F29" s="30">
        <v>140</v>
      </c>
      <c r="G29" s="30">
        <f t="shared" si="2"/>
        <v>112</v>
      </c>
      <c r="H29" s="39" t="s">
        <v>53</v>
      </c>
      <c r="I29" s="55" t="s">
        <v>53</v>
      </c>
      <c r="J29" s="28">
        <v>156.30000000000001</v>
      </c>
      <c r="K29" s="28">
        <f t="shared" si="3"/>
        <v>125.04000000000002</v>
      </c>
      <c r="L29" s="28">
        <v>162.5</v>
      </c>
      <c r="M29" s="28">
        <f t="shared" si="4"/>
        <v>130</v>
      </c>
      <c r="N29" s="28">
        <v>167.5</v>
      </c>
      <c r="O29" s="28">
        <f>N29*0.8</f>
        <v>134</v>
      </c>
      <c r="P29" s="28">
        <v>168.8</v>
      </c>
      <c r="Q29" s="28">
        <f>P29*0.8</f>
        <v>135.04000000000002</v>
      </c>
    </row>
    <row r="30" spans="1:17" ht="15" customHeight="1" x14ac:dyDescent="0.15">
      <c r="A30" s="31" t="s">
        <v>159</v>
      </c>
      <c r="B30" s="30">
        <v>159</v>
      </c>
      <c r="C30" s="30">
        <f>B30*0.8</f>
        <v>127.2</v>
      </c>
      <c r="D30" s="30">
        <v>159</v>
      </c>
      <c r="E30" s="30">
        <f t="shared" si="1"/>
        <v>127.2</v>
      </c>
      <c r="F30" s="30">
        <v>159</v>
      </c>
      <c r="G30" s="30">
        <f t="shared" si="2"/>
        <v>127.2</v>
      </c>
      <c r="H30" s="39" t="s">
        <v>53</v>
      </c>
      <c r="I30" s="55" t="s">
        <v>53</v>
      </c>
      <c r="J30" s="28">
        <v>186.4</v>
      </c>
      <c r="K30" s="28">
        <f t="shared" si="3"/>
        <v>149.12</v>
      </c>
      <c r="L30" s="28">
        <v>192.8</v>
      </c>
      <c r="M30" s="28">
        <f t="shared" si="4"/>
        <v>154.24</v>
      </c>
      <c r="N30" s="28">
        <v>192.8</v>
      </c>
      <c r="O30" s="28">
        <f>N30*0.8</f>
        <v>154.24</v>
      </c>
      <c r="P30" s="28">
        <v>205.7</v>
      </c>
      <c r="Q30" s="28">
        <f>P30*0.8</f>
        <v>164.56</v>
      </c>
    </row>
    <row r="31" spans="1:17" ht="15" customHeight="1" x14ac:dyDescent="0.15">
      <c r="A31" s="31" t="s">
        <v>160</v>
      </c>
      <c r="B31" s="30">
        <v>175</v>
      </c>
      <c r="C31" s="30">
        <f>B31*0.8</f>
        <v>140</v>
      </c>
      <c r="D31" s="30">
        <v>175</v>
      </c>
      <c r="E31" s="30">
        <f t="shared" si="1"/>
        <v>140</v>
      </c>
      <c r="F31" s="30">
        <v>175</v>
      </c>
      <c r="G31" s="30">
        <f t="shared" si="2"/>
        <v>140</v>
      </c>
      <c r="H31" s="39" t="s">
        <v>53</v>
      </c>
      <c r="I31" s="55" t="s">
        <v>53</v>
      </c>
      <c r="J31" s="28">
        <v>212.5</v>
      </c>
      <c r="K31" s="28">
        <f t="shared" si="3"/>
        <v>170</v>
      </c>
      <c r="L31" s="28">
        <v>218.8</v>
      </c>
      <c r="M31" s="28">
        <f t="shared" si="4"/>
        <v>175.04000000000002</v>
      </c>
      <c r="N31" s="28">
        <v>221.3</v>
      </c>
      <c r="O31" s="28">
        <f>N31*0.8</f>
        <v>177.04000000000002</v>
      </c>
      <c r="P31" s="28">
        <v>225</v>
      </c>
      <c r="Q31" s="28">
        <f>P31*0.8</f>
        <v>180</v>
      </c>
    </row>
    <row r="32" spans="1:17" ht="15" customHeight="1" x14ac:dyDescent="0.15">
      <c r="A32" s="31"/>
      <c r="B32" s="30"/>
      <c r="C32" s="30"/>
      <c r="D32" s="30"/>
      <c r="E32" s="30"/>
      <c r="F32" s="30"/>
      <c r="G32" s="30"/>
      <c r="H32" s="30"/>
      <c r="I32" s="29"/>
      <c r="J32" s="28"/>
      <c r="K32" s="28"/>
      <c r="L32" s="28"/>
      <c r="M32" s="28"/>
      <c r="N32" s="28"/>
      <c r="O32" s="28"/>
      <c r="P32" s="28"/>
      <c r="Q32" s="28"/>
    </row>
    <row r="33" spans="1:17" ht="15" customHeight="1" x14ac:dyDescent="0.15">
      <c r="A33" s="32" t="s">
        <v>161</v>
      </c>
      <c r="B33" s="30">
        <v>210</v>
      </c>
      <c r="C33" s="30">
        <f>B33*0.8</f>
        <v>168</v>
      </c>
      <c r="D33" s="30">
        <v>210</v>
      </c>
      <c r="E33" s="30">
        <f>D33*0.8</f>
        <v>168</v>
      </c>
      <c r="F33" s="30">
        <v>215</v>
      </c>
      <c r="G33" s="30">
        <f>F33*0.8</f>
        <v>172</v>
      </c>
      <c r="H33" s="30">
        <v>215</v>
      </c>
      <c r="I33" s="30">
        <f>H33*0.8</f>
        <v>172</v>
      </c>
      <c r="J33" s="28">
        <v>256</v>
      </c>
      <c r="K33" s="28">
        <f>J33*0.8</f>
        <v>204.8</v>
      </c>
      <c r="L33" s="28">
        <v>262</v>
      </c>
      <c r="M33" s="28">
        <f>L33*0.8</f>
        <v>209.60000000000002</v>
      </c>
      <c r="N33" s="28">
        <v>265</v>
      </c>
      <c r="O33" s="28">
        <f>N33*0.8</f>
        <v>212</v>
      </c>
      <c r="P33" s="28">
        <v>269</v>
      </c>
      <c r="Q33" s="28">
        <f>P33*0.8</f>
        <v>215.20000000000002</v>
      </c>
    </row>
    <row r="34" spans="1:17" ht="15" customHeight="1" x14ac:dyDescent="0.15">
      <c r="A34" s="32" t="s">
        <v>162</v>
      </c>
      <c r="B34" s="30">
        <v>235</v>
      </c>
      <c r="C34" s="30">
        <f>B34*0.8</f>
        <v>188</v>
      </c>
      <c r="D34" s="30">
        <v>235</v>
      </c>
      <c r="E34" s="30">
        <f>D34*0.8</f>
        <v>188</v>
      </c>
      <c r="F34" s="30">
        <v>240</v>
      </c>
      <c r="G34" s="30">
        <f>F34*0.8</f>
        <v>192</v>
      </c>
      <c r="H34" s="30">
        <v>240</v>
      </c>
      <c r="I34" s="30">
        <f>H34*0.8</f>
        <v>192</v>
      </c>
      <c r="J34" s="28">
        <v>295</v>
      </c>
      <c r="K34" s="28">
        <f>J34*0.8</f>
        <v>236</v>
      </c>
      <c r="L34" s="28">
        <v>305</v>
      </c>
      <c r="M34" s="28">
        <f>L34*0.8</f>
        <v>244</v>
      </c>
      <c r="N34" s="28">
        <v>320</v>
      </c>
      <c r="O34" s="28">
        <f>N34*0.8</f>
        <v>256</v>
      </c>
      <c r="P34" s="28">
        <v>330</v>
      </c>
      <c r="Q34" s="28">
        <f>P34*0.8</f>
        <v>264</v>
      </c>
    </row>
    <row r="35" spans="1:17" ht="15" customHeight="1" x14ac:dyDescent="0.15">
      <c r="A35" s="32" t="s">
        <v>163</v>
      </c>
      <c r="B35" s="30">
        <v>290</v>
      </c>
      <c r="C35" s="30">
        <f>B35*0.8</f>
        <v>232</v>
      </c>
      <c r="D35" s="30">
        <v>290</v>
      </c>
      <c r="E35" s="30">
        <f>D35*0.8</f>
        <v>232</v>
      </c>
      <c r="F35" s="30">
        <v>295</v>
      </c>
      <c r="G35" s="30">
        <f>F35*0.8</f>
        <v>236</v>
      </c>
      <c r="H35" s="30">
        <v>295</v>
      </c>
      <c r="I35" s="30">
        <f>H35*0.8</f>
        <v>236</v>
      </c>
      <c r="J35" s="28">
        <v>337</v>
      </c>
      <c r="K35" s="28">
        <f>J35*0.8</f>
        <v>269.60000000000002</v>
      </c>
      <c r="L35" s="28">
        <v>350</v>
      </c>
      <c r="M35" s="28">
        <f>L35*0.8</f>
        <v>280</v>
      </c>
      <c r="N35" s="28">
        <v>362</v>
      </c>
      <c r="O35" s="28">
        <f>N35*0.8</f>
        <v>289.60000000000002</v>
      </c>
      <c r="P35" s="28">
        <v>370</v>
      </c>
      <c r="Q35" s="28">
        <f>P35*0.8</f>
        <v>296</v>
      </c>
    </row>
    <row r="36" spans="1:17" ht="15" customHeight="1" x14ac:dyDescent="0.15">
      <c r="A36" s="32" t="s">
        <v>164</v>
      </c>
      <c r="B36" s="30">
        <v>330</v>
      </c>
      <c r="C36" s="30">
        <f>B36*0.8</f>
        <v>264</v>
      </c>
      <c r="D36" s="30">
        <v>330</v>
      </c>
      <c r="E36" s="30">
        <f>D36*0.8</f>
        <v>264</v>
      </c>
      <c r="F36" s="30">
        <v>340</v>
      </c>
      <c r="G36" s="30">
        <f>F36*0.8</f>
        <v>272</v>
      </c>
      <c r="H36" s="30">
        <v>340</v>
      </c>
      <c r="I36" s="30">
        <f>H36*0.8</f>
        <v>272</v>
      </c>
      <c r="J36" s="28">
        <v>394</v>
      </c>
      <c r="K36" s="28">
        <f>J36*0.8</f>
        <v>315.20000000000005</v>
      </c>
      <c r="L36" s="28">
        <v>406</v>
      </c>
      <c r="M36" s="28">
        <f>L36*0.8</f>
        <v>324.8</v>
      </c>
      <c r="N36" s="28">
        <v>413</v>
      </c>
      <c r="O36" s="28">
        <f>N36*0.8</f>
        <v>330.40000000000003</v>
      </c>
      <c r="P36" s="28">
        <v>425</v>
      </c>
      <c r="Q36" s="28">
        <f>P36*0.8</f>
        <v>340</v>
      </c>
    </row>
    <row r="37" spans="1:17" ht="15" customHeight="1" x14ac:dyDescent="0.15">
      <c r="A37" s="32"/>
      <c r="B37" s="30"/>
      <c r="C37" s="30"/>
      <c r="D37" s="30"/>
      <c r="E37" s="30"/>
      <c r="F37" s="30"/>
      <c r="G37" s="30"/>
      <c r="H37" s="30"/>
      <c r="I37" s="29"/>
      <c r="J37" s="28"/>
      <c r="K37" s="28"/>
      <c r="L37" s="28"/>
      <c r="M37" s="28"/>
      <c r="N37" s="28"/>
      <c r="O37" s="28"/>
      <c r="P37" s="28"/>
      <c r="Q37" s="28"/>
    </row>
    <row r="38" spans="1:17" ht="15" customHeight="1" x14ac:dyDescent="0.15">
      <c r="A38" s="32" t="s">
        <v>165</v>
      </c>
      <c r="B38" s="22">
        <v>390</v>
      </c>
      <c r="C38" s="30">
        <f>B38*0.8</f>
        <v>312</v>
      </c>
      <c r="D38" s="22">
        <v>390</v>
      </c>
      <c r="E38" s="30">
        <f>D38*0.8</f>
        <v>312</v>
      </c>
      <c r="F38" s="22">
        <v>390</v>
      </c>
      <c r="G38" s="30">
        <f>F38*0.8</f>
        <v>312</v>
      </c>
      <c r="H38" s="22">
        <v>390</v>
      </c>
      <c r="I38" s="30">
        <f>H38*0.8</f>
        <v>312</v>
      </c>
      <c r="J38" s="28">
        <v>463</v>
      </c>
      <c r="K38" s="28">
        <f>J38*0.8</f>
        <v>370.40000000000003</v>
      </c>
      <c r="L38" s="28">
        <v>485</v>
      </c>
      <c r="M38" s="28">
        <f>L38*0.8</f>
        <v>388</v>
      </c>
      <c r="N38" s="28">
        <v>515</v>
      </c>
      <c r="O38" s="28">
        <f>N38*0.8</f>
        <v>412</v>
      </c>
      <c r="P38" s="28">
        <v>520</v>
      </c>
      <c r="Q38" s="81">
        <f>P38*0.8</f>
        <v>416</v>
      </c>
    </row>
    <row r="39" spans="1:17" ht="15" customHeight="1" x14ac:dyDescent="0.15">
      <c r="A39" s="32" t="s">
        <v>166</v>
      </c>
      <c r="B39" s="30">
        <v>435</v>
      </c>
      <c r="C39" s="30">
        <f>B39*0.8</f>
        <v>348</v>
      </c>
      <c r="D39" s="30">
        <v>435</v>
      </c>
      <c r="E39" s="30">
        <f>D39*0.8</f>
        <v>348</v>
      </c>
      <c r="F39" s="30">
        <v>435</v>
      </c>
      <c r="G39" s="30">
        <f>F39*0.8</f>
        <v>348</v>
      </c>
      <c r="H39" s="30">
        <v>435</v>
      </c>
      <c r="I39" s="30">
        <f>H39*0.8</f>
        <v>348</v>
      </c>
      <c r="J39" s="28">
        <v>500</v>
      </c>
      <c r="K39" s="28">
        <f>J39*0.8</f>
        <v>400</v>
      </c>
      <c r="L39" s="28">
        <v>520</v>
      </c>
      <c r="M39" s="28">
        <f>L39*0.8</f>
        <v>416</v>
      </c>
      <c r="N39" s="28">
        <v>545</v>
      </c>
      <c r="O39" s="81">
        <f>N39*0.8</f>
        <v>436</v>
      </c>
      <c r="P39" s="28">
        <v>570</v>
      </c>
      <c r="Q39" s="81">
        <f>P39*0.8</f>
        <v>456</v>
      </c>
    </row>
    <row r="40" spans="1:17" ht="15" customHeight="1" x14ac:dyDescent="0.15">
      <c r="A40" s="32" t="s">
        <v>167</v>
      </c>
      <c r="B40" s="22">
        <v>530</v>
      </c>
      <c r="C40" s="30">
        <f>B40*0.8</f>
        <v>424</v>
      </c>
      <c r="D40" s="22">
        <v>530</v>
      </c>
      <c r="E40" s="30">
        <f>D40*0.8</f>
        <v>424</v>
      </c>
      <c r="F40" s="22">
        <v>530</v>
      </c>
      <c r="G40" s="30">
        <f>F40*0.8</f>
        <v>424</v>
      </c>
      <c r="H40" s="22">
        <v>530</v>
      </c>
      <c r="I40" s="30">
        <f>H40*0.8</f>
        <v>424</v>
      </c>
      <c r="J40" s="28">
        <v>606</v>
      </c>
      <c r="K40" s="28">
        <f>J40*0.8</f>
        <v>484.8</v>
      </c>
      <c r="L40" s="28">
        <v>625</v>
      </c>
      <c r="M40" s="28">
        <f>L40*0.8</f>
        <v>500</v>
      </c>
      <c r="N40" s="28">
        <v>638</v>
      </c>
      <c r="O40" s="81">
        <f>N40*0.8</f>
        <v>510.40000000000003</v>
      </c>
      <c r="P40" s="28">
        <v>650</v>
      </c>
      <c r="Q40" s="81">
        <f>P40*0.8</f>
        <v>520</v>
      </c>
    </row>
    <row r="41" spans="1:17" ht="15" customHeight="1" x14ac:dyDescent="0.15">
      <c r="A41" s="32" t="s">
        <v>168</v>
      </c>
      <c r="B41" s="22">
        <v>565</v>
      </c>
      <c r="C41" s="30">
        <f>B41*0.8</f>
        <v>452</v>
      </c>
      <c r="D41" s="22">
        <v>585</v>
      </c>
      <c r="E41" s="30">
        <f>D41*0.8</f>
        <v>468</v>
      </c>
      <c r="F41" s="22">
        <v>600</v>
      </c>
      <c r="G41" s="30">
        <f>F41*0.8</f>
        <v>480</v>
      </c>
      <c r="H41" s="22">
        <v>600</v>
      </c>
      <c r="I41" s="30">
        <f>H41*0.8</f>
        <v>480</v>
      </c>
      <c r="J41" s="28">
        <v>663</v>
      </c>
      <c r="K41" s="28">
        <f>J41*0.8</f>
        <v>530.4</v>
      </c>
      <c r="L41" s="28">
        <v>694</v>
      </c>
      <c r="M41" s="28">
        <f>L41*0.8</f>
        <v>555.20000000000005</v>
      </c>
      <c r="N41" s="28">
        <v>706</v>
      </c>
      <c r="O41" s="81">
        <f>N41*0.8</f>
        <v>564.80000000000007</v>
      </c>
      <c r="P41" s="28">
        <v>725</v>
      </c>
      <c r="Q41" s="81">
        <f>P41*0.8</f>
        <v>580</v>
      </c>
    </row>
    <row r="42" spans="1:17" ht="15" customHeight="1" x14ac:dyDescent="0.15">
      <c r="A42" s="74"/>
      <c r="B42" s="75"/>
      <c r="C42" s="76"/>
      <c r="E42" s="76"/>
      <c r="F42" s="76"/>
      <c r="G42" s="77"/>
      <c r="H42" s="76"/>
      <c r="J42" s="77"/>
      <c r="L42" s="78"/>
      <c r="N42" s="76"/>
    </row>
    <row r="43" spans="1:17" x14ac:dyDescent="0.15">
      <c r="A43" s="24" t="s">
        <v>68</v>
      </c>
      <c r="B43" s="139" t="s">
        <v>66</v>
      </c>
      <c r="C43" s="140"/>
      <c r="D43" s="140"/>
      <c r="E43" s="140"/>
      <c r="F43" s="140"/>
      <c r="G43" s="140"/>
      <c r="H43" s="140"/>
      <c r="I43" s="141"/>
      <c r="J43" s="166" t="s">
        <v>67</v>
      </c>
      <c r="K43" s="166"/>
      <c r="L43" s="166"/>
      <c r="M43" s="166"/>
      <c r="N43" s="166"/>
      <c r="O43" s="166"/>
      <c r="P43" s="166"/>
      <c r="Q43" s="166"/>
    </row>
    <row r="44" spans="1:17" x14ac:dyDescent="0.15">
      <c r="A44" s="24" t="s">
        <v>58</v>
      </c>
      <c r="B44" s="128">
        <v>0.8</v>
      </c>
      <c r="C44" s="129"/>
      <c r="D44" s="128">
        <v>0.8</v>
      </c>
      <c r="E44" s="129"/>
      <c r="F44" s="128">
        <v>0.8</v>
      </c>
      <c r="G44" s="129"/>
      <c r="H44" s="128">
        <v>0.8</v>
      </c>
      <c r="I44" s="129"/>
      <c r="J44" s="130">
        <v>0.8</v>
      </c>
      <c r="K44" s="131"/>
      <c r="L44" s="130">
        <v>0.8</v>
      </c>
      <c r="M44" s="131"/>
      <c r="N44" s="130">
        <v>0.8</v>
      </c>
      <c r="O44" s="131"/>
      <c r="P44" s="130">
        <v>0.8</v>
      </c>
      <c r="Q44" s="131"/>
    </row>
    <row r="45" spans="1:17" x14ac:dyDescent="0.15">
      <c r="A45" s="24" t="s">
        <v>59</v>
      </c>
      <c r="B45" s="17"/>
      <c r="C45" s="18"/>
      <c r="D45" s="17"/>
      <c r="E45" s="18"/>
      <c r="F45" s="17"/>
      <c r="G45" s="18"/>
      <c r="H45" s="53"/>
      <c r="I45" s="53"/>
      <c r="J45" s="20"/>
      <c r="K45" s="21"/>
      <c r="L45" s="20"/>
      <c r="M45" s="21"/>
      <c r="N45" s="20"/>
      <c r="O45" s="21"/>
      <c r="P45" s="20"/>
      <c r="Q45" s="21"/>
    </row>
    <row r="46" spans="1:17" x14ac:dyDescent="0.15">
      <c r="A46" s="24" t="s">
        <v>104</v>
      </c>
      <c r="B46" s="128">
        <v>380</v>
      </c>
      <c r="C46" s="129"/>
      <c r="D46" s="137">
        <v>400</v>
      </c>
      <c r="E46" s="137"/>
      <c r="F46" s="128">
        <v>415</v>
      </c>
      <c r="G46" s="129"/>
      <c r="H46" s="128">
        <v>440</v>
      </c>
      <c r="I46" s="129"/>
      <c r="J46" s="126">
        <v>416</v>
      </c>
      <c r="K46" s="127"/>
      <c r="L46" s="130">
        <v>440</v>
      </c>
      <c r="M46" s="131"/>
      <c r="N46" s="130">
        <v>460</v>
      </c>
      <c r="O46" s="131"/>
      <c r="P46" s="130">
        <v>480</v>
      </c>
      <c r="Q46" s="131"/>
    </row>
    <row r="47" spans="1:17" x14ac:dyDescent="0.15">
      <c r="A47" s="24" t="s">
        <v>105</v>
      </c>
      <c r="B47" s="128">
        <v>220</v>
      </c>
      <c r="C47" s="129"/>
      <c r="D47" s="128">
        <v>230</v>
      </c>
      <c r="E47" s="129"/>
      <c r="F47" s="128">
        <v>240</v>
      </c>
      <c r="G47" s="129"/>
      <c r="H47" s="128">
        <v>254</v>
      </c>
      <c r="I47" s="129"/>
      <c r="J47" s="126">
        <v>240</v>
      </c>
      <c r="K47" s="127"/>
      <c r="L47" s="126">
        <v>254</v>
      </c>
      <c r="M47" s="127"/>
      <c r="N47" s="126">
        <v>266</v>
      </c>
      <c r="O47" s="127"/>
      <c r="P47" s="126">
        <v>277</v>
      </c>
      <c r="Q47" s="127"/>
    </row>
    <row r="48" spans="1:17" x14ac:dyDescent="0.15">
      <c r="A48" s="24" t="s">
        <v>106</v>
      </c>
      <c r="B48" s="128">
        <v>380</v>
      </c>
      <c r="C48" s="129"/>
      <c r="D48" s="137">
        <v>400</v>
      </c>
      <c r="E48" s="137"/>
      <c r="F48" s="128">
        <v>415</v>
      </c>
      <c r="G48" s="129"/>
      <c r="H48" s="128">
        <v>440</v>
      </c>
      <c r="I48" s="129"/>
      <c r="J48" s="126">
        <v>416</v>
      </c>
      <c r="K48" s="127"/>
      <c r="L48" s="130">
        <v>440</v>
      </c>
      <c r="M48" s="131"/>
      <c r="N48" s="130">
        <v>460</v>
      </c>
      <c r="O48" s="131"/>
      <c r="P48" s="130">
        <v>480</v>
      </c>
      <c r="Q48" s="131"/>
    </row>
    <row r="49" spans="1:17" x14ac:dyDescent="0.15">
      <c r="A49" s="24" t="s">
        <v>107</v>
      </c>
      <c r="B49" s="128">
        <v>190</v>
      </c>
      <c r="C49" s="129"/>
      <c r="D49" s="128">
        <v>200</v>
      </c>
      <c r="E49" s="129"/>
      <c r="F49" s="128">
        <v>208</v>
      </c>
      <c r="G49" s="129"/>
      <c r="H49" s="128">
        <v>220</v>
      </c>
      <c r="I49" s="129"/>
      <c r="J49" s="126">
        <v>208</v>
      </c>
      <c r="K49" s="127"/>
      <c r="L49" s="126">
        <v>220</v>
      </c>
      <c r="M49" s="127"/>
      <c r="N49" s="126">
        <v>230</v>
      </c>
      <c r="O49" s="127"/>
      <c r="P49" s="126">
        <v>240</v>
      </c>
      <c r="Q49" s="127"/>
    </row>
    <row r="50" spans="1:17" x14ac:dyDescent="0.15">
      <c r="A50" s="25" t="s">
        <v>62</v>
      </c>
      <c r="B50" s="128">
        <v>220</v>
      </c>
      <c r="C50" s="129"/>
      <c r="D50" s="128">
        <v>230</v>
      </c>
      <c r="E50" s="129"/>
      <c r="F50" s="128">
        <v>240</v>
      </c>
      <c r="G50" s="129"/>
      <c r="H50" s="128">
        <v>254</v>
      </c>
      <c r="I50" s="129"/>
      <c r="J50" s="126">
        <v>240</v>
      </c>
      <c r="K50" s="127"/>
      <c r="L50" s="126">
        <v>254</v>
      </c>
      <c r="M50" s="127"/>
      <c r="N50" s="126">
        <v>266</v>
      </c>
      <c r="O50" s="127"/>
      <c r="P50" s="126">
        <v>277</v>
      </c>
      <c r="Q50" s="127"/>
    </row>
    <row r="51" spans="1:17" x14ac:dyDescent="0.15">
      <c r="A51" s="25" t="s">
        <v>63</v>
      </c>
      <c r="B51" s="128" t="s">
        <v>55</v>
      </c>
      <c r="C51" s="129"/>
      <c r="D51" s="128" t="s">
        <v>55</v>
      </c>
      <c r="E51" s="129"/>
      <c r="F51" s="128" t="s">
        <v>55</v>
      </c>
      <c r="G51" s="129"/>
      <c r="H51" s="128" t="s">
        <v>55</v>
      </c>
      <c r="I51" s="129"/>
      <c r="J51" s="126" t="s">
        <v>55</v>
      </c>
      <c r="K51" s="127"/>
      <c r="L51" s="126" t="s">
        <v>55</v>
      </c>
      <c r="M51" s="127"/>
      <c r="N51" s="126" t="s">
        <v>55</v>
      </c>
      <c r="O51" s="127"/>
      <c r="P51" s="126" t="s">
        <v>55</v>
      </c>
      <c r="Q51" s="127"/>
    </row>
    <row r="52" spans="1:17" x14ac:dyDescent="0.15">
      <c r="A52" s="26" t="s">
        <v>64</v>
      </c>
      <c r="B52" s="19" t="s">
        <v>0</v>
      </c>
      <c r="C52" s="19" t="s">
        <v>1</v>
      </c>
      <c r="D52" s="19" t="s">
        <v>0</v>
      </c>
      <c r="E52" s="19" t="s">
        <v>1</v>
      </c>
      <c r="F52" s="19" t="s">
        <v>0</v>
      </c>
      <c r="G52" s="19" t="s">
        <v>1</v>
      </c>
      <c r="H52" s="19" t="s">
        <v>0</v>
      </c>
      <c r="I52" s="19" t="s">
        <v>1</v>
      </c>
      <c r="J52" s="23" t="s">
        <v>0</v>
      </c>
      <c r="K52" s="23" t="s">
        <v>1</v>
      </c>
      <c r="L52" s="23" t="s">
        <v>0</v>
      </c>
      <c r="M52" s="23" t="s">
        <v>1</v>
      </c>
      <c r="N52" s="23" t="s">
        <v>0</v>
      </c>
      <c r="O52" s="23" t="s">
        <v>1</v>
      </c>
      <c r="P52" s="23" t="s">
        <v>0</v>
      </c>
      <c r="Q52" s="23" t="s">
        <v>1</v>
      </c>
    </row>
    <row r="53" spans="1:17" x14ac:dyDescent="0.15">
      <c r="A53" s="32" t="s">
        <v>127</v>
      </c>
      <c r="B53" s="22">
        <v>580</v>
      </c>
      <c r="C53" s="30">
        <f t="shared" ref="C53:C58" si="5">B53*0.8</f>
        <v>464</v>
      </c>
      <c r="D53" s="22">
        <v>625</v>
      </c>
      <c r="E53" s="30">
        <f t="shared" ref="E53:E58" si="6">D53*0.8</f>
        <v>500</v>
      </c>
      <c r="F53" s="22">
        <v>625</v>
      </c>
      <c r="G53" s="30">
        <f t="shared" ref="G53:G58" si="7">F53*0.8</f>
        <v>500</v>
      </c>
      <c r="H53" s="30">
        <v>580</v>
      </c>
      <c r="I53" s="30">
        <f t="shared" ref="I53:I58" si="8">H53*0.8</f>
        <v>464</v>
      </c>
      <c r="J53" s="28">
        <v>680</v>
      </c>
      <c r="K53" s="28">
        <f t="shared" ref="K53:K58" si="9">J53*0.8</f>
        <v>544</v>
      </c>
      <c r="L53" s="28">
        <v>710</v>
      </c>
      <c r="M53" s="28">
        <f t="shared" ref="M53:M58" si="10">L53*0.8</f>
        <v>568</v>
      </c>
      <c r="N53" s="28">
        <v>730</v>
      </c>
      <c r="O53" s="28">
        <f t="shared" ref="O53:O58" si="11">N53*0.8</f>
        <v>584</v>
      </c>
      <c r="P53" s="28">
        <v>750</v>
      </c>
      <c r="Q53" s="28">
        <f t="shared" ref="Q53:Q58" si="12">P53*0.8</f>
        <v>600</v>
      </c>
    </row>
    <row r="54" spans="1:17" x14ac:dyDescent="0.15">
      <c r="A54" s="32" t="s">
        <v>128</v>
      </c>
      <c r="B54" s="22">
        <v>630</v>
      </c>
      <c r="C54" s="30">
        <f t="shared" si="5"/>
        <v>504</v>
      </c>
      <c r="D54" s="22">
        <v>687</v>
      </c>
      <c r="E54" s="30">
        <f t="shared" si="6"/>
        <v>549.6</v>
      </c>
      <c r="F54" s="22">
        <v>687</v>
      </c>
      <c r="G54" s="30">
        <f t="shared" si="7"/>
        <v>549.6</v>
      </c>
      <c r="H54" s="30">
        <v>630</v>
      </c>
      <c r="I54" s="30">
        <f t="shared" si="8"/>
        <v>504</v>
      </c>
      <c r="J54" s="28">
        <v>710</v>
      </c>
      <c r="K54" s="28">
        <f t="shared" si="9"/>
        <v>568</v>
      </c>
      <c r="L54" s="28">
        <v>750</v>
      </c>
      <c r="M54" s="28">
        <f t="shared" si="10"/>
        <v>600</v>
      </c>
      <c r="N54" s="28">
        <v>780</v>
      </c>
      <c r="O54" s="28">
        <f t="shared" si="11"/>
        <v>624</v>
      </c>
      <c r="P54" s="28">
        <v>800</v>
      </c>
      <c r="Q54" s="28">
        <f t="shared" si="12"/>
        <v>640</v>
      </c>
    </row>
    <row r="55" spans="1:17" x14ac:dyDescent="0.15">
      <c r="A55" s="32" t="s">
        <v>129</v>
      </c>
      <c r="B55" s="22">
        <v>700</v>
      </c>
      <c r="C55" s="30">
        <f t="shared" si="5"/>
        <v>560</v>
      </c>
      <c r="D55" s="22">
        <v>750</v>
      </c>
      <c r="E55" s="30">
        <f t="shared" si="6"/>
        <v>600</v>
      </c>
      <c r="F55" s="22">
        <v>750</v>
      </c>
      <c r="G55" s="30">
        <f t="shared" si="7"/>
        <v>600</v>
      </c>
      <c r="H55" s="30">
        <v>700</v>
      </c>
      <c r="I55" s="30">
        <f t="shared" si="8"/>
        <v>560</v>
      </c>
      <c r="J55" s="28">
        <v>800</v>
      </c>
      <c r="K55" s="28">
        <f t="shared" si="9"/>
        <v>640</v>
      </c>
      <c r="L55" s="28">
        <v>850</v>
      </c>
      <c r="M55" s="28">
        <f t="shared" si="10"/>
        <v>680</v>
      </c>
      <c r="N55" s="28">
        <v>870</v>
      </c>
      <c r="O55" s="28">
        <f t="shared" si="11"/>
        <v>696</v>
      </c>
      <c r="P55" s="28">
        <v>900</v>
      </c>
      <c r="Q55" s="28">
        <f t="shared" si="12"/>
        <v>720</v>
      </c>
    </row>
    <row r="56" spans="1:17" x14ac:dyDescent="0.15">
      <c r="A56" s="32" t="s">
        <v>130</v>
      </c>
      <c r="B56" s="22">
        <v>750</v>
      </c>
      <c r="C56" s="30">
        <f t="shared" si="5"/>
        <v>600</v>
      </c>
      <c r="D56" s="22">
        <v>825</v>
      </c>
      <c r="E56" s="30">
        <f t="shared" si="6"/>
        <v>660</v>
      </c>
      <c r="F56" s="22">
        <v>825</v>
      </c>
      <c r="G56" s="30">
        <f t="shared" si="7"/>
        <v>660</v>
      </c>
      <c r="H56" s="30">
        <v>750</v>
      </c>
      <c r="I56" s="30">
        <f t="shared" si="8"/>
        <v>600</v>
      </c>
      <c r="J56" s="28">
        <v>880</v>
      </c>
      <c r="K56" s="28">
        <f t="shared" si="9"/>
        <v>704</v>
      </c>
      <c r="L56" s="28">
        <v>930</v>
      </c>
      <c r="M56" s="28">
        <f t="shared" si="10"/>
        <v>744</v>
      </c>
      <c r="N56" s="28">
        <v>970</v>
      </c>
      <c r="O56" s="28">
        <f t="shared" si="11"/>
        <v>776</v>
      </c>
      <c r="P56" s="28">
        <v>1000</v>
      </c>
      <c r="Q56" s="28">
        <f t="shared" si="12"/>
        <v>800</v>
      </c>
    </row>
    <row r="57" spans="1:17" x14ac:dyDescent="0.15">
      <c r="A57" s="32" t="s">
        <v>131</v>
      </c>
      <c r="B57" s="22">
        <v>850</v>
      </c>
      <c r="C57" s="30">
        <f t="shared" si="5"/>
        <v>680</v>
      </c>
      <c r="D57" s="22">
        <v>900</v>
      </c>
      <c r="E57" s="30">
        <f t="shared" si="6"/>
        <v>720</v>
      </c>
      <c r="F57" s="22">
        <v>900</v>
      </c>
      <c r="G57" s="30">
        <f t="shared" si="7"/>
        <v>720</v>
      </c>
      <c r="H57" s="30">
        <v>850</v>
      </c>
      <c r="I57" s="30">
        <f t="shared" si="8"/>
        <v>680</v>
      </c>
      <c r="J57" s="28">
        <v>960</v>
      </c>
      <c r="K57" s="28">
        <f t="shared" si="9"/>
        <v>768</v>
      </c>
      <c r="L57" s="28">
        <v>1010</v>
      </c>
      <c r="M57" s="28">
        <f t="shared" si="10"/>
        <v>808</v>
      </c>
      <c r="N57" s="28">
        <v>1065</v>
      </c>
      <c r="O57" s="28">
        <f t="shared" si="11"/>
        <v>852</v>
      </c>
      <c r="P57" s="28">
        <v>1125</v>
      </c>
      <c r="Q57" s="28">
        <f t="shared" si="12"/>
        <v>900</v>
      </c>
    </row>
    <row r="58" spans="1:17" ht="15" customHeight="1" x14ac:dyDescent="0.15">
      <c r="A58" s="32" t="s">
        <v>132</v>
      </c>
      <c r="B58" s="22">
        <v>950</v>
      </c>
      <c r="C58" s="30">
        <f t="shared" si="5"/>
        <v>760</v>
      </c>
      <c r="D58" s="22">
        <v>1030</v>
      </c>
      <c r="E58" s="30">
        <f t="shared" si="6"/>
        <v>824</v>
      </c>
      <c r="F58" s="22">
        <v>1030</v>
      </c>
      <c r="G58" s="30">
        <f t="shared" si="7"/>
        <v>824</v>
      </c>
      <c r="H58" s="30">
        <v>950</v>
      </c>
      <c r="I58" s="30">
        <f t="shared" si="8"/>
        <v>760</v>
      </c>
      <c r="J58" s="28">
        <v>1040</v>
      </c>
      <c r="K58" s="28">
        <f t="shared" si="9"/>
        <v>832</v>
      </c>
      <c r="L58" s="28">
        <v>1100</v>
      </c>
      <c r="M58" s="28">
        <f t="shared" si="10"/>
        <v>880</v>
      </c>
      <c r="N58" s="28">
        <v>1150</v>
      </c>
      <c r="O58" s="28">
        <f t="shared" si="11"/>
        <v>920</v>
      </c>
      <c r="P58" s="28">
        <v>1230</v>
      </c>
      <c r="Q58" s="28">
        <f t="shared" si="12"/>
        <v>984</v>
      </c>
    </row>
    <row r="59" spans="1:17" ht="19.5" customHeight="1" x14ac:dyDescent="0.15">
      <c r="A59" s="6"/>
      <c r="B59" s="6"/>
      <c r="C59" s="5"/>
      <c r="D59" s="6"/>
      <c r="E59" s="5"/>
      <c r="F59" s="6"/>
      <c r="G59" s="5"/>
      <c r="H59" s="5"/>
      <c r="I59" s="5"/>
      <c r="J59" s="4"/>
      <c r="K59" s="4"/>
      <c r="L59" s="4"/>
      <c r="M59" s="4"/>
      <c r="N59" s="4"/>
      <c r="O59" s="4"/>
      <c r="P59" s="4"/>
      <c r="Q59" s="4"/>
    </row>
    <row r="60" spans="1:17" ht="15.75" customHeight="1" x14ac:dyDescent="0.15">
      <c r="A60" s="32" t="s">
        <v>133</v>
      </c>
      <c r="B60" s="23">
        <v>1095.616</v>
      </c>
      <c r="C60" s="39">
        <v>876.49279999999999</v>
      </c>
      <c r="D60" s="23">
        <v>1127.8400000000001</v>
      </c>
      <c r="E60" s="39">
        <v>902.27200000000005</v>
      </c>
      <c r="F60" s="23">
        <v>1127.8400000000001</v>
      </c>
      <c r="G60" s="39">
        <v>902.27200000000005</v>
      </c>
      <c r="H60" s="39">
        <v>1107.7</v>
      </c>
      <c r="I60" s="39">
        <v>886.16000000000008</v>
      </c>
      <c r="J60" s="73">
        <v>1228.54</v>
      </c>
      <c r="K60" s="73">
        <v>982.83200000000011</v>
      </c>
      <c r="L60" s="73">
        <v>1309.1000000000001</v>
      </c>
      <c r="M60" s="73">
        <v>1047.28</v>
      </c>
      <c r="N60" s="73">
        <v>1333.268</v>
      </c>
      <c r="O60" s="73">
        <v>1066.6144000000002</v>
      </c>
      <c r="P60" s="73">
        <v>1361.4640000000002</v>
      </c>
      <c r="Q60" s="73">
        <v>1089.1712</v>
      </c>
    </row>
    <row r="61" spans="1:17" ht="15.75" customHeight="1" x14ac:dyDescent="0.15">
      <c r="A61" s="32" t="s">
        <v>134</v>
      </c>
      <c r="B61" s="23">
        <v>1250.8</v>
      </c>
      <c r="C61" s="39">
        <f t="shared" ref="C61:E66" si="13">B61*0.8</f>
        <v>1000.64</v>
      </c>
      <c r="D61" s="23">
        <v>1314.4</v>
      </c>
      <c r="E61" s="39">
        <f t="shared" si="13"/>
        <v>1051.5200000000002</v>
      </c>
      <c r="F61" s="23">
        <v>1314.4</v>
      </c>
      <c r="G61" s="39">
        <f t="shared" ref="G61:G66" si="14">F61*0.8</f>
        <v>1051.5200000000002</v>
      </c>
      <c r="H61" s="39">
        <v>1192.5</v>
      </c>
      <c r="I61" s="39">
        <f t="shared" ref="I61:I66" si="15">H61*0.8</f>
        <v>954</v>
      </c>
      <c r="J61" s="73">
        <v>1473.4</v>
      </c>
      <c r="K61" s="73">
        <f t="shared" ref="K61:M66" si="16">J61*0.8</f>
        <v>1178.72</v>
      </c>
      <c r="L61" s="73">
        <v>1568.8000000000002</v>
      </c>
      <c r="M61" s="73">
        <f t="shared" si="16"/>
        <v>1255.0400000000002</v>
      </c>
      <c r="N61" s="73">
        <v>1600.6000000000001</v>
      </c>
      <c r="O61" s="73">
        <f t="shared" ref="O61:O66" si="17">N61*0.8</f>
        <v>1280.4800000000002</v>
      </c>
      <c r="P61" s="73">
        <v>1632.4</v>
      </c>
      <c r="Q61" s="73">
        <f t="shared" ref="Q61:Q66" si="18">P61*0.8</f>
        <v>1305.92</v>
      </c>
    </row>
    <row r="62" spans="1:17" ht="15.75" customHeight="1" x14ac:dyDescent="0.15">
      <c r="A62" s="32" t="s">
        <v>135</v>
      </c>
      <c r="B62" s="23">
        <v>1330.3</v>
      </c>
      <c r="C62" s="39">
        <f t="shared" si="13"/>
        <v>1064.24</v>
      </c>
      <c r="D62" s="23">
        <v>1399.2</v>
      </c>
      <c r="E62" s="39">
        <f t="shared" si="13"/>
        <v>1119.3600000000001</v>
      </c>
      <c r="F62" s="23">
        <v>1399.2</v>
      </c>
      <c r="G62" s="39">
        <f t="shared" si="14"/>
        <v>1119.3600000000001</v>
      </c>
      <c r="H62" s="39">
        <v>1272</v>
      </c>
      <c r="I62" s="39">
        <f t="shared" si="15"/>
        <v>1017.6</v>
      </c>
      <c r="J62" s="73">
        <v>1568.8000000000002</v>
      </c>
      <c r="K62" s="73">
        <f t="shared" si="16"/>
        <v>1255.0400000000002</v>
      </c>
      <c r="L62" s="73">
        <v>1674.8000000000002</v>
      </c>
      <c r="M62" s="73">
        <f t="shared" si="16"/>
        <v>1339.8400000000001</v>
      </c>
      <c r="N62" s="73">
        <v>1706.6000000000001</v>
      </c>
      <c r="O62" s="73">
        <f t="shared" si="17"/>
        <v>1365.2800000000002</v>
      </c>
      <c r="P62" s="73">
        <v>1743.7</v>
      </c>
      <c r="Q62" s="73">
        <f t="shared" si="18"/>
        <v>1394.96</v>
      </c>
    </row>
    <row r="63" spans="1:17" ht="15.75" customHeight="1" x14ac:dyDescent="0.15">
      <c r="A63" s="32" t="s">
        <v>136</v>
      </c>
      <c r="B63" s="23">
        <v>1446.9</v>
      </c>
      <c r="C63" s="39">
        <f t="shared" si="13"/>
        <v>1157.5200000000002</v>
      </c>
      <c r="D63" s="23">
        <v>1521.1000000000001</v>
      </c>
      <c r="E63" s="39">
        <f t="shared" si="13"/>
        <v>1216.8800000000001</v>
      </c>
      <c r="F63" s="23">
        <v>1521.1000000000001</v>
      </c>
      <c r="G63" s="39">
        <f t="shared" si="14"/>
        <v>1216.8800000000001</v>
      </c>
      <c r="H63" s="39">
        <v>1378</v>
      </c>
      <c r="I63" s="39">
        <f t="shared" si="15"/>
        <v>1102.4000000000001</v>
      </c>
      <c r="J63" s="73">
        <v>1791.4</v>
      </c>
      <c r="K63" s="73">
        <f t="shared" si="16"/>
        <v>1433.1200000000001</v>
      </c>
      <c r="L63" s="73">
        <v>1908</v>
      </c>
      <c r="M63" s="73">
        <f t="shared" si="16"/>
        <v>1526.4</v>
      </c>
      <c r="N63" s="73">
        <v>1950.4</v>
      </c>
      <c r="O63" s="73">
        <f t="shared" si="17"/>
        <v>1560.3200000000002</v>
      </c>
      <c r="P63" s="73">
        <v>1987.5</v>
      </c>
      <c r="Q63" s="73">
        <f t="shared" si="18"/>
        <v>1590</v>
      </c>
    </row>
    <row r="64" spans="1:17" ht="15.75" customHeight="1" x14ac:dyDescent="0.15">
      <c r="A64" s="32" t="s">
        <v>137</v>
      </c>
      <c r="B64" s="23">
        <v>1590</v>
      </c>
      <c r="C64" s="39">
        <f t="shared" si="13"/>
        <v>1272</v>
      </c>
      <c r="D64" s="23">
        <v>1674.8000000000002</v>
      </c>
      <c r="E64" s="39">
        <f t="shared" si="13"/>
        <v>1339.8400000000001</v>
      </c>
      <c r="F64" s="23">
        <v>1674.8000000000002</v>
      </c>
      <c r="G64" s="39">
        <f t="shared" si="14"/>
        <v>1339.8400000000001</v>
      </c>
      <c r="H64" s="39">
        <v>1537</v>
      </c>
      <c r="I64" s="39">
        <f t="shared" si="15"/>
        <v>1229.6000000000001</v>
      </c>
      <c r="J64" s="73">
        <v>2024.6000000000001</v>
      </c>
      <c r="K64" s="73">
        <f t="shared" si="16"/>
        <v>1619.6800000000003</v>
      </c>
      <c r="L64" s="73">
        <v>2157.1</v>
      </c>
      <c r="M64" s="73">
        <f t="shared" si="16"/>
        <v>1725.68</v>
      </c>
      <c r="N64" s="73">
        <v>2199.5</v>
      </c>
      <c r="O64" s="73">
        <f t="shared" si="17"/>
        <v>1759.6000000000001</v>
      </c>
      <c r="P64" s="73">
        <v>2247.2000000000003</v>
      </c>
      <c r="Q64" s="73">
        <f t="shared" si="18"/>
        <v>1797.7600000000002</v>
      </c>
    </row>
    <row r="65" spans="1:17" ht="15.75" customHeight="1" x14ac:dyDescent="0.15">
      <c r="A65" s="32" t="s">
        <v>138</v>
      </c>
      <c r="B65" s="23">
        <v>1844.4</v>
      </c>
      <c r="C65" s="39">
        <f t="shared" si="13"/>
        <v>1475.5200000000002</v>
      </c>
      <c r="D65" s="23">
        <v>1902.7</v>
      </c>
      <c r="E65" s="39">
        <f t="shared" si="13"/>
        <v>1522.16</v>
      </c>
      <c r="F65" s="23">
        <v>1902.7</v>
      </c>
      <c r="G65" s="39">
        <f t="shared" si="14"/>
        <v>1522.16</v>
      </c>
      <c r="H65" s="39">
        <v>1802</v>
      </c>
      <c r="I65" s="39">
        <f t="shared" si="15"/>
        <v>1441.6000000000001</v>
      </c>
      <c r="J65" s="73">
        <v>2141.2000000000003</v>
      </c>
      <c r="K65" s="73">
        <f t="shared" si="16"/>
        <v>1712.9600000000003</v>
      </c>
      <c r="L65" s="73">
        <v>2284.3000000000002</v>
      </c>
      <c r="M65" s="73">
        <f t="shared" si="16"/>
        <v>1827.4400000000003</v>
      </c>
      <c r="N65" s="73">
        <v>2332</v>
      </c>
      <c r="O65" s="73">
        <f t="shared" si="17"/>
        <v>1865.6000000000001</v>
      </c>
      <c r="P65" s="73">
        <v>2379.7000000000003</v>
      </c>
      <c r="Q65" s="73">
        <f t="shared" si="18"/>
        <v>1903.7600000000002</v>
      </c>
    </row>
    <row r="66" spans="1:17" ht="15.75" customHeight="1" x14ac:dyDescent="0.15">
      <c r="A66" s="32" t="s">
        <v>139</v>
      </c>
      <c r="B66" s="23">
        <v>1897.4</v>
      </c>
      <c r="C66" s="39">
        <f t="shared" si="13"/>
        <v>1517.92</v>
      </c>
      <c r="D66" s="23">
        <v>1955.7</v>
      </c>
      <c r="E66" s="39">
        <f t="shared" si="13"/>
        <v>1564.5600000000002</v>
      </c>
      <c r="F66" s="23">
        <v>1955.7</v>
      </c>
      <c r="G66" s="39">
        <f t="shared" si="14"/>
        <v>1564.5600000000002</v>
      </c>
      <c r="H66" s="39">
        <v>1855</v>
      </c>
      <c r="I66" s="39">
        <f t="shared" si="15"/>
        <v>1484</v>
      </c>
      <c r="J66" s="73">
        <v>2204.8000000000002</v>
      </c>
      <c r="K66" s="73">
        <f t="shared" si="16"/>
        <v>1763.8400000000001</v>
      </c>
      <c r="L66" s="73">
        <v>2347.9</v>
      </c>
      <c r="M66" s="73">
        <f t="shared" si="16"/>
        <v>1878.3200000000002</v>
      </c>
      <c r="N66" s="73">
        <v>2395.6</v>
      </c>
      <c r="O66" s="73">
        <f t="shared" si="17"/>
        <v>1916.48</v>
      </c>
      <c r="P66" s="73">
        <v>2443.3000000000002</v>
      </c>
      <c r="Q66" s="73">
        <f t="shared" si="18"/>
        <v>1954.6400000000003</v>
      </c>
    </row>
    <row r="67" spans="1:17" x14ac:dyDescent="0.15">
      <c r="A67" s="57" t="s">
        <v>56</v>
      </c>
    </row>
    <row r="68" spans="1:17" x14ac:dyDescent="0.15">
      <c r="A68" s="57" t="s">
        <v>140</v>
      </c>
    </row>
    <row r="69" spans="1:17" x14ac:dyDescent="0.15">
      <c r="A69" s="57" t="s">
        <v>141</v>
      </c>
    </row>
    <row r="70" spans="1:17" x14ac:dyDescent="0.15">
      <c r="A70" s="57" t="s">
        <v>142</v>
      </c>
    </row>
    <row r="71" spans="1:17" x14ac:dyDescent="0.15">
      <c r="A71" s="57" t="s">
        <v>143</v>
      </c>
    </row>
    <row r="72" spans="1:17" x14ac:dyDescent="0.15">
      <c r="A72" s="57" t="s">
        <v>179</v>
      </c>
    </row>
    <row r="73" spans="1:17" x14ac:dyDescent="0.15">
      <c r="A73" s="57" t="s">
        <v>171</v>
      </c>
    </row>
    <row r="74" spans="1:17" x14ac:dyDescent="0.15">
      <c r="A74" s="57" t="s">
        <v>170</v>
      </c>
    </row>
    <row r="75" spans="1:17" x14ac:dyDescent="0.15">
      <c r="A75" s="57" t="s">
        <v>169</v>
      </c>
    </row>
  </sheetData>
  <mergeCells count="125">
    <mergeCell ref="N50:O50"/>
    <mergeCell ref="P50:Q50"/>
    <mergeCell ref="B51:C51"/>
    <mergeCell ref="D51:E51"/>
    <mergeCell ref="F51:G51"/>
    <mergeCell ref="H51:I51"/>
    <mergeCell ref="J51:K51"/>
    <mergeCell ref="L51:M51"/>
    <mergeCell ref="N51:O51"/>
    <mergeCell ref="P51:Q51"/>
    <mergeCell ref="B50:C50"/>
    <mergeCell ref="D50:E50"/>
    <mergeCell ref="F50:G50"/>
    <mergeCell ref="H50:I50"/>
    <mergeCell ref="J50:K50"/>
    <mergeCell ref="L50:M50"/>
    <mergeCell ref="N48:O48"/>
    <mergeCell ref="P48:Q48"/>
    <mergeCell ref="B49:C49"/>
    <mergeCell ref="D49:E49"/>
    <mergeCell ref="F49:G49"/>
    <mergeCell ref="H49:I49"/>
    <mergeCell ref="J49:K49"/>
    <mergeCell ref="L49:M49"/>
    <mergeCell ref="N49:O49"/>
    <mergeCell ref="P49:Q49"/>
    <mergeCell ref="B48:C48"/>
    <mergeCell ref="D48:E48"/>
    <mergeCell ref="F48:G48"/>
    <mergeCell ref="H48:I48"/>
    <mergeCell ref="J48:K48"/>
    <mergeCell ref="L48:M48"/>
    <mergeCell ref="N46:O46"/>
    <mergeCell ref="P46:Q46"/>
    <mergeCell ref="B47:C47"/>
    <mergeCell ref="D47:E47"/>
    <mergeCell ref="F47:G47"/>
    <mergeCell ref="H47:I47"/>
    <mergeCell ref="J47:K47"/>
    <mergeCell ref="L47:M47"/>
    <mergeCell ref="N47:O47"/>
    <mergeCell ref="P47:Q47"/>
    <mergeCell ref="B46:C46"/>
    <mergeCell ref="D46:E46"/>
    <mergeCell ref="F46:G46"/>
    <mergeCell ref="H46:I46"/>
    <mergeCell ref="J46:K46"/>
    <mergeCell ref="L46:M46"/>
    <mergeCell ref="B43:I43"/>
    <mergeCell ref="J43:Q43"/>
    <mergeCell ref="B44:C44"/>
    <mergeCell ref="D44:E44"/>
    <mergeCell ref="F44:G44"/>
    <mergeCell ref="H44:I44"/>
    <mergeCell ref="J44:K44"/>
    <mergeCell ref="L44:M44"/>
    <mergeCell ref="N44:O44"/>
    <mergeCell ref="P44:Q44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1:C11"/>
    <mergeCell ref="D11:E11"/>
    <mergeCell ref="F11:G11"/>
    <mergeCell ref="H11:I11"/>
    <mergeCell ref="J11:K11"/>
    <mergeCell ref="L11:M11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9:C9"/>
    <mergeCell ref="D9:E9"/>
    <mergeCell ref="F9:G9"/>
    <mergeCell ref="H9:I9"/>
    <mergeCell ref="J9:K9"/>
    <mergeCell ref="L9:M9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7:C7"/>
    <mergeCell ref="D7:E7"/>
    <mergeCell ref="F7:G7"/>
    <mergeCell ref="H7:I7"/>
    <mergeCell ref="J7:K7"/>
    <mergeCell ref="L7:M7"/>
    <mergeCell ref="P4:Q4"/>
    <mergeCell ref="B6:C6"/>
    <mergeCell ref="D6:E6"/>
    <mergeCell ref="F6:G6"/>
    <mergeCell ref="H6:I6"/>
    <mergeCell ref="J6:K6"/>
    <mergeCell ref="L6:M6"/>
    <mergeCell ref="N6:O6"/>
    <mergeCell ref="P6:Q6"/>
    <mergeCell ref="A1:Q1"/>
    <mergeCell ref="B3:I3"/>
    <mergeCell ref="J3:Q3"/>
    <mergeCell ref="B4:C4"/>
    <mergeCell ref="D4:E4"/>
    <mergeCell ref="F4:G4"/>
    <mergeCell ref="H4:I4"/>
    <mergeCell ref="J4:K4"/>
    <mergeCell ref="L4:M4"/>
    <mergeCell ref="N4:O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4P 3PH rating </vt:lpstr>
      <vt:lpstr>4P 1PH rating</vt:lpstr>
      <vt:lpstr>2P 3PH rating</vt:lpstr>
      <vt:lpstr>2P 1PH rating</vt:lpstr>
      <vt:lpstr>4P 3PH 40SB</vt:lpstr>
      <vt:lpstr>4P 3PH 27SB</vt:lpstr>
      <vt:lpstr>4P 3PH 150K</vt:lpstr>
      <vt:lpstr>4P 3PH 163K</vt:lpstr>
      <vt:lpstr>4P 3PH 1 Hour</vt:lpstr>
      <vt:lpstr>Marine 70K</vt:lpstr>
      <vt:lpstr>Marine - 90K</vt:lpstr>
      <vt:lpstr>Marine 110K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顾斌</dc:creator>
  <cp:lastModifiedBy>GUBN</cp:lastModifiedBy>
  <cp:revision/>
  <cp:lastPrinted>2014-07-01T04:12:06Z</cp:lastPrinted>
  <dcterms:created xsi:type="dcterms:W3CDTF">2011-02-26T09:33:44Z</dcterms:created>
  <dcterms:modified xsi:type="dcterms:W3CDTF">2017-06-09T06:57:20Z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2052-6.6.0.2699</vt:lpwstr>
  </property>
</Properties>
</file>